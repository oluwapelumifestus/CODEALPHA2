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10.xml" ContentType="application/vnd.openxmlformats-officedocument.spreadsheetml.pivotCacheRecords+xml"/>
  <Override PartName="/xl/pivotCache/pivotCacheRecords11.xml" ContentType="application/vnd.openxmlformats-officedocument.spreadsheetml.pivotCacheRecords+xml"/>
  <Override PartName="/xl/pivotCache/pivotCacheRecords12.xml" ContentType="application/vnd.openxmlformats-officedocument.spreadsheetml.pivotCacheRecords+xml"/>
  <Override PartName="/xl/pivotCache/pivotCacheRecords13.xml" ContentType="application/vnd.openxmlformats-officedocument.spreadsheetml.pivotCacheRecords+xml"/>
  <Override PartName="/xl/pivotCache/pivotCacheRecords14.xml" ContentType="application/vnd.openxmlformats-officedocument.spreadsheetml.pivotCacheRecords+xml"/>
  <Override PartName="/xl/pivotCache/pivotCacheRecords15.xml" ContentType="application/vnd.openxmlformats-officedocument.spreadsheetml.pivotCacheRecords+xml"/>
  <Override PartName="/xl/pivotCache/pivotCacheRecords16.xml" ContentType="application/vnd.openxmlformats-officedocument.spreadsheetml.pivotCacheRecords+xml"/>
  <Override PartName="/xl/pivotCache/pivotCacheRecords17.xml" ContentType="application/vnd.openxmlformats-officedocument.spreadsheetml.pivotCacheRecords+xml"/>
  <Override PartName="/xl/pivotCache/pivotCacheRecords18.xml" ContentType="application/vnd.openxmlformats-officedocument.spreadsheetml.pivotCacheRecords+xml"/>
  <Override PartName="/xl/pivotCache/pivotCacheRecords19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20.xml" ContentType="application/vnd.openxmlformats-officedocument.spreadsheetml.pivotCacheRecords+xml"/>
  <Override PartName="/xl/pivotCache/pivotCacheRecords21.xml" ContentType="application/vnd.openxmlformats-officedocument.spreadsheetml.pivotCacheRecords+xml"/>
  <Override PartName="/xl/pivotCache/pivotCacheRecords22.xml" ContentType="application/vnd.openxmlformats-officedocument.spreadsheetml.pivotCacheRecords+xml"/>
  <Override PartName="/xl/pivotCache/pivotCacheRecords23.xml" ContentType="application/vnd.openxmlformats-officedocument.spreadsheetml.pivotCacheRecords+xml"/>
  <Override PartName="/xl/pivotCache/pivotCacheRecords24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pivotCache/pivotCacheRecords9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80" firstSheet="5" activeTab="9"/>
  </bookViews>
  <sheets>
    <sheet name="COVID- Africa" sheetId="2" r:id="rId1"/>
    <sheet name="HIGHEST CASES PREDICTION DASH" sheetId="12" r:id="rId2"/>
    <sheet name="LOWEST CASES PREDICTION DASH" sheetId="14" r:id="rId3"/>
    <sheet name="PIVOT" sheetId="13" r:id="rId4"/>
    <sheet name="MORTALITY &amp; RECOVERY RATE DASH" sheetId="15" r:id="rId5"/>
    <sheet name="COMPARISM WITH COUNTRIES DASH" sheetId="16" r:id="rId6"/>
    <sheet name="COMBINED DASH" sheetId="17" r:id="rId7"/>
    <sheet name="LOWER 10" sheetId="9" r:id="rId8"/>
    <sheet name="Table" sheetId="18" r:id="rId9"/>
    <sheet name="TOP 10" sheetId="21" r:id="rId10"/>
  </sheets>
  <definedNames>
    <definedName name="Slicer_Country">#N/A</definedName>
    <definedName name="Slicer_Country1">#N/A</definedName>
    <definedName name="Slicer_Country2">#N/A</definedName>
  </definedNames>
  <calcPr calcId="191029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  <pivotCache cacheId="7" r:id="rId18"/>
    <pivotCache cacheId="8" r:id="rId19"/>
    <pivotCache cacheId="9" r:id="rId20"/>
    <pivotCache cacheId="10" r:id="rId21"/>
    <pivotCache cacheId="11" r:id="rId22"/>
    <pivotCache cacheId="12" r:id="rId23"/>
    <pivotCache cacheId="13" r:id="rId24"/>
    <pivotCache cacheId="14" r:id="rId25"/>
    <pivotCache cacheId="15" r:id="rId26"/>
    <pivotCache cacheId="16" r:id="rId27"/>
    <pivotCache cacheId="17" r:id="rId28"/>
    <pivotCache cacheId="18" r:id="rId29"/>
    <pivotCache cacheId="19" r:id="rId30"/>
    <pivotCache cacheId="20" r:id="rId31"/>
    <pivotCache cacheId="21" r:id="rId32"/>
    <pivotCache cacheId="22" r:id="rId33"/>
    <pivotCache cacheId="23" r:id="rId34"/>
  </pivotCaches>
  <extLst>
    <ext xmlns:x14="http://schemas.microsoft.com/office/spreadsheetml/2009/9/main" uri="{BBE1A952-AA13-448e-AADC-164F8A28A991}">
      <x14:slicerCaches>
        <x14:slicerCache r:id="rId37"/>
        <x14:slicerCache r:id="rId36"/>
        <x14:slicerCache r:id="rId3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<sst xmlns="http://schemas.openxmlformats.org/spreadsheetml/2006/main" count="611" uniqueCount="114">
  <si>
    <t>#</t>
  </si>
  <si>
    <t>Country,</t>
  </si>
  <si>
    <t>Total Cases</t>
  </si>
  <si>
    <t>Total Deaths</t>
  </si>
  <si>
    <t>Total Recovered</t>
  </si>
  <si>
    <t>Active Cases</t>
  </si>
  <si>
    <t>Serious Critical</t>
  </si>
  <si>
    <t>Tot Cases/ 1M Pop</t>
  </si>
  <si>
    <t>Deaths/ 1M Pop</t>
  </si>
  <si>
    <t>Total Tests</t>
  </si>
  <si>
    <t>Tests/ 1M Pop</t>
  </si>
  <si>
    <t>Population</t>
  </si>
  <si>
    <t>South Africa</t>
  </si>
  <si>
    <t>Morocco</t>
  </si>
  <si>
    <t>Tunisia</t>
  </si>
  <si>
    <t>Egypt</t>
  </si>
  <si>
    <t>Libya</t>
  </si>
  <si>
    <t>Ethiopia</t>
  </si>
  <si>
    <t>Réunion</t>
  </si>
  <si>
    <t>Kenya</t>
  </si>
  <si>
    <t>Zambia</t>
  </si>
  <si>
    <t>Botswana</t>
  </si>
  <si>
    <t>Algeria</t>
  </si>
  <si>
    <t>Nigeria</t>
  </si>
  <si>
    <t>Zimbabwe</t>
  </si>
  <si>
    <t>Mozambique</t>
  </si>
  <si>
    <t>Namibia</t>
  </si>
  <si>
    <t>Uganda</t>
  </si>
  <si>
    <t>Ghana</t>
  </si>
  <si>
    <t>Rwanda</t>
  </si>
  <si>
    <t>Cameroon</t>
  </si>
  <si>
    <t>Angola</t>
  </si>
  <si>
    <t>DRC</t>
  </si>
  <si>
    <t>Senegal</t>
  </si>
  <si>
    <t>Malawi</t>
  </si>
  <si>
    <t>Ivory Coast</t>
  </si>
  <si>
    <t>Eswatini</t>
  </si>
  <si>
    <t>Madagascar</t>
  </si>
  <si>
    <t>Sudan</t>
  </si>
  <si>
    <t>Mauritania</t>
  </si>
  <si>
    <t>Cabo Verde</t>
  </si>
  <si>
    <t>Gabon</t>
  </si>
  <si>
    <t>Seychelles</t>
  </si>
  <si>
    <t>Burundi</t>
  </si>
  <si>
    <t>Mauritius</t>
  </si>
  <si>
    <t>Mayotte</t>
  </si>
  <si>
    <t>Togo</t>
  </si>
  <si>
    <t>Guinea</t>
  </si>
  <si>
    <t>Tanzania</t>
  </si>
  <si>
    <t>Lesotho</t>
  </si>
  <si>
    <t>Mali</t>
  </si>
  <si>
    <t>Benin</t>
  </si>
  <si>
    <t>Somalia</t>
  </si>
  <si>
    <t>Congo</t>
  </si>
  <si>
    <t>Burkina Faso</t>
  </si>
  <si>
    <t>South Sudan</t>
  </si>
  <si>
    <t>Equatorial Guinea</t>
  </si>
  <si>
    <t>Djibouti</t>
  </si>
  <si>
    <t>CAR</t>
  </si>
  <si>
    <t>Gambia</t>
  </si>
  <si>
    <t>Eritrea</t>
  </si>
  <si>
    <t>Niger</t>
  </si>
  <si>
    <t>Guinea-Bissau</t>
  </si>
  <si>
    <t>Comoros</t>
  </si>
  <si>
    <t>Sierra Leone</t>
  </si>
  <si>
    <t>Liberia</t>
  </si>
  <si>
    <t>Chad</t>
  </si>
  <si>
    <t>Sao Tome and Principe</t>
  </si>
  <si>
    <t>Western Sahara</t>
  </si>
  <si>
    <t>Saint Helena</t>
  </si>
  <si>
    <t>Sum of Population</t>
  </si>
  <si>
    <t xml:space="preserve">Sum of  Population </t>
  </si>
  <si>
    <t>Sum of Total Tests</t>
  </si>
  <si>
    <t>Sum of Total Cases</t>
  </si>
  <si>
    <t>Sum of Total Deaths</t>
  </si>
  <si>
    <t>Sum of Total Recovered</t>
  </si>
  <si>
    <t>Date</t>
  </si>
  <si>
    <t>Sum of South Africa</t>
  </si>
  <si>
    <t>Sum of Saint Helena</t>
  </si>
  <si>
    <t>15/6/2022</t>
  </si>
  <si>
    <t>16/6/2022</t>
  </si>
  <si>
    <t>17/6/2022</t>
  </si>
  <si>
    <t>18/6/2022</t>
  </si>
  <si>
    <t>19/6/2022</t>
  </si>
  <si>
    <t>20/6/2022</t>
  </si>
  <si>
    <t>21/6/2022</t>
  </si>
  <si>
    <t>Sum of Morocco</t>
  </si>
  <si>
    <t>Sum of Western Sahara</t>
  </si>
  <si>
    <t>Sum of Sao Tome and Principe</t>
  </si>
  <si>
    <t>Sum of Tunisia</t>
  </si>
  <si>
    <t>Sum of Chad</t>
  </si>
  <si>
    <t>Sum of Egypt</t>
  </si>
  <si>
    <t>Sum of Liberia</t>
  </si>
  <si>
    <t>Sum of Libya</t>
  </si>
  <si>
    <t>Sum of Sierra Leone</t>
  </si>
  <si>
    <t>Sum of Ethiopia</t>
  </si>
  <si>
    <t>Sum of Comoros</t>
  </si>
  <si>
    <t>Sum of Réunion</t>
  </si>
  <si>
    <t>Sum of Kenya</t>
  </si>
  <si>
    <t>Sum of Guinea-Bissau</t>
  </si>
  <si>
    <t>Sum of Zambia</t>
  </si>
  <si>
    <t>Sum of Niger</t>
  </si>
  <si>
    <t>Sum of Botswana</t>
  </si>
  <si>
    <t>Sum of Eritrea</t>
  </si>
  <si>
    <t>Sum of Mortality Rate</t>
  </si>
  <si>
    <t>Sum of Recovery Rate</t>
  </si>
  <si>
    <t>Sum of Active Cases</t>
  </si>
  <si>
    <t>Sum of Serious Critical</t>
  </si>
  <si>
    <t>Sum of Deaths/ 1M Pop</t>
  </si>
  <si>
    <t xml:space="preserve"> Population </t>
  </si>
  <si>
    <t>mortality rate</t>
  </si>
  <si>
    <t xml:space="preserve">recovered rate </t>
  </si>
  <si>
    <t>Trend</t>
  </si>
  <si>
    <t>S/N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</si>
</sst>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8">
    <font>
      <sz val="11"/>
      <color theme="1"/>
      <name val="Calibri"/>
      <charset val="134"/>
      <scheme val="minor"/>
    </font>
    <font>
      <b/>
      <sz val="7"/>
      <color rgb="FF666666"/>
      <name val="Arial"/>
      <charset val="134"/>
    </font>
    <font>
      <sz val="6"/>
      <color rgb="FF363945"/>
      <name val="Calibri"/>
      <charset val="134"/>
      <scheme val="minor"/>
    </font>
    <font>
      <b/>
      <sz val="8"/>
      <color rgb="FF363945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</font>
    <font>
      <b/>
      <sz val="8"/>
      <color rgb="FF363945"/>
      <name val="Calibri"/>
      <charset val="134"/>
    </font>
    <font>
      <sz val="8"/>
      <color rgb="FF363945"/>
      <name val="Arial"/>
      <charset val="134"/>
    </font>
    <font>
      <b/>
      <sz val="8"/>
      <color rgb="FF363945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0F0F0"/>
        <bgColor indexed="64"/>
      </patternFill>
    </fill>
    <fill>
      <patternFill patternType="solid">
        <fgColor rgb="FFEAF7D5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theme="4"/>
      </left>
      <right style="medium">
        <color rgb="FFDDDDDD"/>
      </right>
      <top style="thin">
        <color theme="4"/>
      </top>
      <bottom/>
      <diagonal/>
    </border>
    <border>
      <left/>
      <right style="medium">
        <color rgb="FFDDDDDD"/>
      </right>
      <top style="thin">
        <color theme="4"/>
      </top>
      <bottom/>
      <diagonal/>
    </border>
    <border>
      <left style="medium">
        <color rgb="FFDDDDDD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medium">
        <color rgb="FFDDDDDD"/>
      </right>
      <top style="medium">
        <color rgb="FFDDDDDD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medium">
        <color rgb="FFDDDDDD"/>
      </right>
      <top style="medium">
        <color rgb="FFDDDDDD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8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7" applyNumberFormat="0" applyAlignment="0" applyProtection="0">
      <alignment vertical="center"/>
    </xf>
    <xf numFmtId="0" fontId="18" fillId="10" borderId="18" applyNumberFormat="0" applyAlignment="0" applyProtection="0">
      <alignment vertical="center"/>
    </xf>
    <xf numFmtId="0" fontId="19" fillId="10" borderId="17" applyNumberFormat="0" applyAlignment="0" applyProtection="0">
      <alignment vertical="center"/>
    </xf>
    <xf numFmtId="0" fontId="20" fillId="11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177" fontId="1" fillId="2" borderId="3" xfId="1" applyNumberFormat="1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Font="1" applyBorder="1"/>
    <xf numFmtId="3" fontId="3" fillId="2" borderId="6" xfId="0" applyNumberFormat="1" applyFont="1" applyFill="1" applyBorder="1" applyAlignment="1">
      <alignment horizontal="right" vertical="top" wrapText="1"/>
    </xf>
    <xf numFmtId="0" fontId="3" fillId="2" borderId="6" xfId="0" applyFont="1" applyFill="1" applyBorder="1" applyAlignment="1">
      <alignment horizontal="right" vertical="top" wrapText="1"/>
    </xf>
    <xf numFmtId="177" fontId="0" fillId="0" borderId="7" xfId="1" applyNumberFormat="1" applyFont="1" applyBorder="1"/>
    <xf numFmtId="0" fontId="4" fillId="3" borderId="8" xfId="0" applyFont="1" applyFill="1" applyBorder="1"/>
    <xf numFmtId="0" fontId="4" fillId="3" borderId="9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left" wrapText="1"/>
    </xf>
    <xf numFmtId="177" fontId="1" fillId="2" borderId="11" xfId="1" applyNumberFormat="1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center" vertical="center" wrapText="1"/>
    </xf>
    <xf numFmtId="0" fontId="0" fillId="0" borderId="0" xfId="0" applyFont="1" applyFill="1"/>
    <xf numFmtId="3" fontId="3" fillId="2" borderId="12" xfId="0" applyNumberFormat="1" applyFont="1" applyFill="1" applyBorder="1" applyAlignment="1">
      <alignment horizontal="right" vertical="top" wrapText="1"/>
    </xf>
    <xf numFmtId="0" fontId="3" fillId="2" borderId="12" xfId="0" applyFont="1" applyFill="1" applyBorder="1" applyAlignment="1">
      <alignment horizontal="right" vertical="top" wrapText="1"/>
    </xf>
    <xf numFmtId="177" fontId="0" fillId="0" borderId="0" xfId="1" applyNumberFormat="1" applyFont="1" applyFill="1"/>
    <xf numFmtId="3" fontId="0" fillId="0" borderId="0" xfId="0" applyNumberFormat="1"/>
    <xf numFmtId="0" fontId="2" fillId="5" borderId="1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right" vertical="top" wrapText="1"/>
    </xf>
    <xf numFmtId="0" fontId="2" fillId="6" borderId="12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right" vertical="top" wrapText="1"/>
    </xf>
    <xf numFmtId="43" fontId="0" fillId="0" borderId="0" xfId="1"/>
    <xf numFmtId="177" fontId="0" fillId="0" borderId="0" xfId="1" applyNumberFormat="1"/>
    <xf numFmtId="177" fontId="0" fillId="0" borderId="0" xfId="1" applyNumberFormat="1" applyFont="1"/>
    <xf numFmtId="0" fontId="5" fillId="0" borderId="0" xfId="0" applyFont="1"/>
    <xf numFmtId="3" fontId="6" fillId="2" borderId="12" xfId="0" applyNumberFormat="1" applyFont="1" applyFill="1" applyBorder="1" applyAlignment="1">
      <alignment horizontal="right" vertical="top" wrapText="1"/>
    </xf>
    <xf numFmtId="0" fontId="6" fillId="2" borderId="12" xfId="0" applyFont="1" applyFill="1" applyBorder="1" applyAlignment="1">
      <alignment horizontal="right" vertical="top" wrapText="1"/>
    </xf>
    <xf numFmtId="177" fontId="5" fillId="0" borderId="0" xfId="1" applyNumberFormat="1" applyFont="1"/>
    <xf numFmtId="0" fontId="7" fillId="7" borderId="12" xfId="0" applyFont="1" applyFill="1" applyBorder="1" applyAlignment="1">
      <alignment horizontal="right" vertical="top" wrapText="1"/>
    </xf>
    <xf numFmtId="0" fontId="7" fillId="7" borderId="12" xfId="0" applyFont="1" applyFill="1" applyBorder="1" applyAlignment="1">
      <alignment horizontal="left" vertical="top" wrapText="1"/>
    </xf>
    <xf numFmtId="3" fontId="7" fillId="7" borderId="12" xfId="0" applyNumberFormat="1" applyFont="1" applyFill="1" applyBorder="1" applyAlignment="1">
      <alignment horizontal="right" vertical="top" wrapText="1"/>
    </xf>
    <xf numFmtId="177" fontId="7" fillId="7" borderId="13" xfId="1" applyNumberFormat="1" applyFont="1" applyFill="1" applyBorder="1" applyAlignment="1">
      <alignment horizontal="right" vertical="top" wrapText="1"/>
    </xf>
    <xf numFmtId="0" fontId="8" fillId="2" borderId="12" xfId="0" applyFont="1" applyFill="1" applyBorder="1" applyAlignment="1">
      <alignment horizontal="right" vertical="top" wrapText="1"/>
    </xf>
    <xf numFmtId="3" fontId="8" fillId="2" borderId="12" xfId="0" applyNumberFormat="1" applyFont="1" applyFill="1" applyBorder="1" applyAlignment="1">
      <alignment horizontal="right" vertical="top" wrapText="1"/>
    </xf>
    <xf numFmtId="177" fontId="8" fillId="2" borderId="13" xfId="1" applyNumberFormat="1" applyFont="1" applyFill="1" applyBorder="1" applyAlignment="1">
      <alignment horizontal="righ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8">
    <dxf>
      <numFmt numFmtId="3" formatCode="#,##0"/>
    </dxf>
    <dxf>
      <font>
        <name val="Calibri"/>
        <scheme val="none"/>
        <family val="2"/>
        <strike val="0"/>
        <u val="none"/>
      </font>
    </dxf>
    <dxf>
      <font>
        <name val="Calibri"/>
        <scheme val="none"/>
        <family val="2"/>
        <strike val="0"/>
        <u val="none"/>
      </font>
    </dxf>
    <dxf>
      <font>
        <name val="Calibri"/>
        <scheme val="none"/>
        <family val="2"/>
        <b val="1"/>
        <i val="0"/>
        <strike val="0"/>
        <u val="none"/>
        <sz val="8"/>
        <color rgb="FF363945"/>
      </font>
      <numFmt numFmtId="3" formatCode="#,##0"/>
      <fill>
        <patternFill patternType="solid">
          <bgColor rgb="FFFFFFFF"/>
        </patternFill>
      </fill>
      <alignment horizontal="right" vertical="top" wrapText="1"/>
      <border>
        <left/>
        <right style="medium">
          <color rgb="FFDDDDDD"/>
        </right>
        <top style="medium">
          <color rgb="FFDDDDDD"/>
        </top>
        <bottom/>
      </border>
    </dxf>
    <dxf>
      <font>
        <name val="Calibri"/>
        <scheme val="none"/>
        <family val="2"/>
        <strike val="0"/>
        <u val="none"/>
      </font>
    </dxf>
    <dxf>
      <font>
        <name val="Calibri"/>
        <scheme val="none"/>
        <family val="2"/>
        <b val="1"/>
        <i val="0"/>
        <strike val="0"/>
        <u val="none"/>
        <sz val="8"/>
        <color rgb="FF363945"/>
      </font>
      <numFmt numFmtId="3" formatCode="#,##0"/>
      <fill>
        <patternFill patternType="solid">
          <bgColor rgb="FFFFFFFF"/>
        </patternFill>
      </fill>
      <alignment horizontal="right" vertical="top" wrapText="1"/>
      <border>
        <left/>
        <right style="medium">
          <color rgb="FFDDDDDD"/>
        </right>
        <top style="medium">
          <color rgb="FFDDDDDD"/>
        </top>
        <bottom/>
      </border>
    </dxf>
    <dxf>
      <font>
        <name val="Calibri"/>
        <scheme val="none"/>
        <family val="2"/>
        <strike val="0"/>
        <u val="none"/>
      </font>
    </dxf>
    <dxf>
      <font>
        <name val="Calibri"/>
        <scheme val="none"/>
        <family val="2"/>
        <b val="1"/>
        <i val="0"/>
        <strike val="0"/>
        <u val="none"/>
        <sz val="8"/>
        <color rgb="FF363945"/>
      </font>
      <fill>
        <patternFill patternType="solid">
          <bgColor rgb="FFFFFFFF"/>
        </patternFill>
      </fill>
      <alignment horizontal="right" vertical="top" wrapText="1"/>
      <border>
        <left/>
        <right style="medium">
          <color rgb="FFDDDDDD"/>
        </right>
        <top style="medium">
          <color rgb="FFDDDDDD"/>
        </top>
        <bottom/>
      </border>
    </dxf>
    <dxf>
      <font>
        <name val="Calibri"/>
        <scheme val="none"/>
        <family val="2"/>
        <strike val="0"/>
        <u val="none"/>
      </font>
    </dxf>
    <dxf>
      <font>
        <name val="Calibri"/>
        <scheme val="none"/>
        <family val="2"/>
        <b val="1"/>
        <i val="0"/>
        <strike val="0"/>
        <u val="none"/>
        <sz val="8"/>
        <color rgb="FF363945"/>
      </font>
      <fill>
        <patternFill patternType="solid">
          <bgColor rgb="FFFFFFFF"/>
        </patternFill>
      </fill>
      <alignment horizontal="right" vertical="top" wrapText="1"/>
      <border>
        <left/>
        <right style="medium">
          <color rgb="FFDDDDDD"/>
        </right>
        <top style="medium">
          <color rgb="FFDDDDDD"/>
        </top>
        <bottom/>
      </border>
    </dxf>
    <dxf>
      <font>
        <name val="Calibri"/>
        <scheme val="none"/>
        <family val="2"/>
        <strike val="0"/>
        <u val="none"/>
      </font>
    </dxf>
    <dxf>
      <font>
        <name val="Calibri"/>
        <scheme val="none"/>
        <family val="2"/>
        <strike val="0"/>
        <u val="none"/>
      </font>
    </dxf>
    <dxf>
      <font>
        <name val="Calibri"/>
        <scheme val="none"/>
        <family val="2"/>
        <strike val="0"/>
        <u val="none"/>
      </font>
      <numFmt numFmtId="177" formatCode="_(* #,##0_);_(* \(#,##0\);_(* &quot;-&quot;??_);_(@_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77" formatCode="_(* #,##0_);_(* \(#,##0\);_(* &quot;-&quot;??_);_(@_)"/>
      <fill>
        <patternFill patternType="none"/>
      </fill>
    </dxf>
    <dxf>
      <numFmt numFmtId="3" formatCode="#,##0"/>
    </dxf>
    <dxf>
      <numFmt numFmtId="3" formatCode="#,##0"/>
    </dxf>
    <dxf>
      <font>
        <sz val="6"/>
        <color rgb="FF363945"/>
      </font>
      <fill>
        <patternFill patternType="solid">
          <bgColor rgb="FFFFFFFF"/>
        </patternFill>
      </fill>
      <alignment horizontal="center" vertical="center" wrapText="1"/>
      <border>
        <left style="thin">
          <color theme="4"/>
        </left>
        <right style="medium">
          <color rgb="FFDDDDDD"/>
        </right>
        <top style="medium">
          <color rgb="FFDDDDDD"/>
        </top>
        <bottom style="thin">
          <color theme="4"/>
        </bottom>
      </border>
    </dxf>
    <dxf>
      <font>
        <color theme="1"/>
      </font>
      <border>
        <top style="thin">
          <color theme="4"/>
        </top>
        <bottom style="thin">
          <color theme="4"/>
        </bottom>
      </border>
    </dxf>
    <dxf>
      <font>
        <b val="1"/>
        <sz val="8"/>
        <color rgb="FF363945"/>
      </font>
      <numFmt numFmtId="3" formatCode="#,##0"/>
      <fill>
        <patternFill patternType="solid">
          <bgColor rgb="FFFFFFFF"/>
        </patternFill>
      </fill>
      <alignment horizontal="right" vertical="top" wrapText="1"/>
      <border>
        <right style="medium">
          <color rgb="FFDDDDDD"/>
        </right>
        <top style="medium">
          <color rgb="FFDDDDDD"/>
        </top>
        <bottom style="thin">
          <color theme="4"/>
        </bottom>
      </border>
    </dxf>
    <dxf>
      <font>
        <b val="1"/>
        <sz val="8"/>
        <color rgb="FF363945"/>
      </font>
      <numFmt numFmtId="3" formatCode="#,##0"/>
      <fill>
        <patternFill patternType="solid">
          <bgColor rgb="FFFFFFFF"/>
        </patternFill>
      </fill>
      <alignment horizontal="right" vertical="top" wrapText="1"/>
      <border>
        <right style="medium">
          <color rgb="FFDDDDDD"/>
        </right>
        <top style="medium">
          <color rgb="FFDDDDDD"/>
        </top>
        <bottom style="thin">
          <color theme="4"/>
        </bottom>
      </border>
    </dxf>
    <dxf>
      <font>
        <b val="1"/>
        <sz val="8"/>
        <color rgb="FF363945"/>
      </font>
      <numFmt numFmtId="3" formatCode="#,##0"/>
      <fill>
        <patternFill patternType="solid">
          <bgColor rgb="FFFFFFFF"/>
        </patternFill>
      </fill>
      <alignment horizontal="right" vertical="top" wrapText="1"/>
      <border>
        <right style="medium">
          <color rgb="FFDDDDDD"/>
        </right>
        <top style="medium">
          <color rgb="FFDDDDDD"/>
        </top>
        <bottom style="thin">
          <color theme="4"/>
        </bottom>
      </border>
    </dxf>
    <dxf>
      <font>
        <b val="1"/>
        <sz val="8"/>
        <color rgb="FF363945"/>
      </font>
      <numFmt numFmtId="3" formatCode="#,##0"/>
      <fill>
        <patternFill patternType="solid">
          <bgColor rgb="FFFFFFFF"/>
        </patternFill>
      </fill>
      <alignment horizontal="right" vertical="top" wrapText="1"/>
      <border>
        <right style="medium">
          <color rgb="FFDDDDDD"/>
        </right>
        <top style="medium">
          <color rgb="FFDDDDDD"/>
        </top>
        <bottom style="thin">
          <color theme="4"/>
        </bottom>
      </border>
    </dxf>
    <dxf>
      <font>
        <b val="1"/>
        <sz val="8"/>
        <color rgb="FF363945"/>
      </font>
      <fill>
        <patternFill patternType="solid">
          <bgColor rgb="FFFFFFFF"/>
        </patternFill>
      </fill>
      <alignment horizontal="right" vertical="top" wrapText="1"/>
      <border>
        <right style="medium">
          <color rgb="FFDDDDDD"/>
        </right>
        <top style="medium">
          <color rgb="FFDDDDDD"/>
        </top>
        <bottom style="thin">
          <color theme="4"/>
        </bottom>
      </border>
    </dxf>
    <dxf>
      <font>
        <b val="1"/>
        <sz val="8"/>
        <color rgb="FF363945"/>
      </font>
      <numFmt numFmtId="3" formatCode="#,##0"/>
      <fill>
        <patternFill patternType="solid">
          <bgColor rgb="FFFFFFFF"/>
        </patternFill>
      </fill>
      <alignment horizontal="right" vertical="top" wrapText="1"/>
      <border>
        <right style="medium">
          <color rgb="FFDDDDDD"/>
        </right>
        <top style="medium">
          <color rgb="FFDDDDDD"/>
        </top>
        <bottom style="thin">
          <color theme="4"/>
        </bottom>
      </border>
    </dxf>
    <dxf>
      <font>
        <b val="1"/>
        <sz val="8"/>
        <color rgb="FF363945"/>
      </font>
      <numFmt numFmtId="3" formatCode="#,##0"/>
      <fill>
        <patternFill patternType="solid">
          <bgColor rgb="FFFFFFFF"/>
        </patternFill>
      </fill>
      <alignment horizontal="right" vertical="top" wrapText="1"/>
      <border>
        <right style="medium">
          <color rgb="FFDDDDDD"/>
        </right>
        <top style="medium">
          <color rgb="FFDDDDDD"/>
        </top>
        <bottom style="thin">
          <color theme="4"/>
        </bottom>
      </border>
    </dxf>
    <dxf>
      <font>
        <b val="1"/>
        <sz val="8"/>
        <color rgb="FF363945"/>
      </font>
      <numFmt numFmtId="3" formatCode="#,##0"/>
      <fill>
        <patternFill patternType="solid">
          <bgColor rgb="FFFFFFFF"/>
        </patternFill>
      </fill>
      <alignment horizontal="right" vertical="top" wrapText="1"/>
      <border>
        <right style="medium">
          <color rgb="FFDDDDDD"/>
        </right>
        <top style="medium">
          <color rgb="FFDDDDDD"/>
        </top>
        <bottom style="thin">
          <color theme="4"/>
        </bottom>
      </border>
    </dxf>
    <dxf>
      <font>
        <color theme="1"/>
      </font>
      <numFmt numFmtId="177" formatCode="_(* #,##0_);_(* \(#,##0\);_(* &quot;-&quot;??_);_(@_)"/>
      <border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sharedStrings" Target="sharedStrings.xml"/><Relationship Id="rId38" Type="http://schemas.openxmlformats.org/officeDocument/2006/relationships/theme" Target="theme/theme1.xml"/><Relationship Id="rId37" Type="http://schemas.microsoft.com/office/2007/relationships/slicerCache" Target="slicerCaches/slicerCache3.xml"/><Relationship Id="rId36" Type="http://schemas.microsoft.com/office/2007/relationships/slicerCache" Target="slicerCaches/slicerCache2.xml"/><Relationship Id="rId35" Type="http://schemas.microsoft.com/office/2007/relationships/slicerCache" Target="slicerCaches/slicerCache1.xml"/><Relationship Id="rId34" Type="http://schemas.openxmlformats.org/officeDocument/2006/relationships/pivotCacheDefinition" Target="pivotCache/pivotCacheDefinition24.xml"/><Relationship Id="rId33" Type="http://schemas.openxmlformats.org/officeDocument/2006/relationships/pivotCacheDefinition" Target="pivotCache/pivotCacheDefinition23.xml"/><Relationship Id="rId32" Type="http://schemas.openxmlformats.org/officeDocument/2006/relationships/pivotCacheDefinition" Target="pivotCache/pivotCacheDefinition22.xml"/><Relationship Id="rId31" Type="http://schemas.openxmlformats.org/officeDocument/2006/relationships/pivotCacheDefinition" Target="pivotCache/pivotCacheDefinition21.xml"/><Relationship Id="rId30" Type="http://schemas.openxmlformats.org/officeDocument/2006/relationships/pivotCacheDefinition" Target="pivotCache/pivotCacheDefinition20.xml"/><Relationship Id="rId3" Type="http://schemas.openxmlformats.org/officeDocument/2006/relationships/worksheet" Target="worksheets/sheet3.xml"/><Relationship Id="rId29" Type="http://schemas.openxmlformats.org/officeDocument/2006/relationships/pivotCacheDefinition" Target="pivotCache/pivotCacheDefinition19.xml"/><Relationship Id="rId28" Type="http://schemas.openxmlformats.org/officeDocument/2006/relationships/pivotCacheDefinition" Target="pivotCache/pivotCacheDefinition18.xml"/><Relationship Id="rId27" Type="http://schemas.openxmlformats.org/officeDocument/2006/relationships/pivotCacheDefinition" Target="pivotCache/pivotCacheDefinition17.xml"/><Relationship Id="rId26" Type="http://schemas.openxmlformats.org/officeDocument/2006/relationships/pivotCacheDefinition" Target="pivotCache/pivotCacheDefinition16.xml"/><Relationship Id="rId25" Type="http://schemas.openxmlformats.org/officeDocument/2006/relationships/pivotCacheDefinition" Target="pivotCache/pivotCacheDefinition15.xml"/><Relationship Id="rId24" Type="http://schemas.openxmlformats.org/officeDocument/2006/relationships/pivotCacheDefinition" Target="pivotCache/pivotCacheDefinition14.xml"/><Relationship Id="rId23" Type="http://schemas.openxmlformats.org/officeDocument/2006/relationships/pivotCacheDefinition" Target="pivotCache/pivotCacheDefinition13.xml"/><Relationship Id="rId22" Type="http://schemas.openxmlformats.org/officeDocument/2006/relationships/pivotCacheDefinition" Target="pivotCache/pivotCacheDefinition12.xml"/><Relationship Id="rId21" Type="http://schemas.openxmlformats.org/officeDocument/2006/relationships/pivotCacheDefinition" Target="pivotCache/pivotCacheDefinition11.xml"/><Relationship Id="rId20" Type="http://schemas.openxmlformats.org/officeDocument/2006/relationships/pivotCacheDefinition" Target="pivotCache/pivotCacheDefinition10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7.xml"/><Relationship Id="rId16" Type="http://schemas.openxmlformats.org/officeDocument/2006/relationships/pivotCacheDefinition" Target="pivotCache/pivotCacheDefinition6.xml"/><Relationship Id="rId15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SOUTH AFRICA BY DATE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6301056114009"/>
          <c:y val="0.188622754491018"/>
          <c:w val="0.759307799974551"/>
          <c:h val="0.666586826347305"/>
        </c:manualLayout>
      </c:layout>
      <c:lineChart>
        <c:grouping val="standar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78139712431607"/>
                  <c:y val="0.0059862316671655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279933833821097"/>
                  <c:y val="0.002993115833582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953938160071"/>
                      <c:h val="0.116132894343011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0"/>
                  <c:y val="0.01197246333433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27242651736862"/>
                  <c:y val="-0.047889853337324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7953938160071"/>
                      <c:h val="0.10206524992517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PIVOT!$A$19:$A$25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PIVOT!$B$19:$B$25</c:f>
              <c:numCache>
                <c:formatCode>#,##0</c:formatCode>
                <c:ptCount val="7"/>
                <c:pt idx="0">
                  <c:v>3981739</c:v>
                </c:pt>
                <c:pt idx="1">
                  <c:v>3981739</c:v>
                </c:pt>
                <c:pt idx="2">
                  <c:v>3984646</c:v>
                </c:pt>
                <c:pt idx="3">
                  <c:v>3985606</c:v>
                </c:pt>
                <c:pt idx="4">
                  <c:v>3985606</c:v>
                </c:pt>
                <c:pt idx="5">
                  <c:v>3986892</c:v>
                </c:pt>
                <c:pt idx="6">
                  <c:v>3987979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314337288"/>
        <c:axId val="602237889"/>
      </c:lineChart>
      <c:catAx>
        <c:axId val="3143372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02237889"/>
        <c:crosses val="autoZero"/>
        <c:auto val="1"/>
        <c:lblAlgn val="ctr"/>
        <c:lblOffset val="100"/>
        <c:noMultiLvlLbl val="0"/>
      </c:catAx>
      <c:valAx>
        <c:axId val="6022378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314337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90698562158035"/>
          <c:y val="0.505988023952096"/>
          <c:w val="0.100394452220384"/>
          <c:h val="0.10029940119760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9d5ef6-35f4-482c-b977-2088e4b995b9}"/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MOROCCO BY DATES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48194145228742"/>
          <c:y val="0.015323322096230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8818907616272"/>
          <c:y val="0.132087036469507"/>
          <c:w val="0.75736915473324"/>
          <c:h val="0.637266319338032"/>
        </c:manualLayout>
      </c:layout>
      <c:lineChart>
        <c:grouping val="stacked"/>
        <c:varyColors val="0"/>
        <c:ser>
          <c:idx val="0"/>
          <c:order val="0"/>
          <c:tx>
            <c:strRef>
              <c:f>PIVOT!$B$27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016203703703703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394736842105263"/>
                  <c:y val="-0.030092592592592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18421052631579"/>
                  <c:y val="-0.04861111111111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PIVOT!$A$28:$A$34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PIVOT!$B$28:$B$34</c:f>
              <c:numCache>
                <c:formatCode>General</c:formatCode>
                <c:ptCount val="7"/>
                <c:pt idx="0">
                  <c:v>1179474</c:v>
                </c:pt>
                <c:pt idx="1">
                  <c:v>1179474</c:v>
                </c:pt>
                <c:pt idx="2">
                  <c:v>1182776</c:v>
                </c:pt>
                <c:pt idx="3">
                  <c:v>1184732</c:v>
                </c:pt>
                <c:pt idx="4">
                  <c:v>1184732</c:v>
                </c:pt>
                <c:pt idx="5">
                  <c:v>1186597</c:v>
                </c:pt>
                <c:pt idx="6">
                  <c:v>1189656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11141230"/>
        <c:axId val="480325510"/>
      </c:lineChart>
      <c:catAx>
        <c:axId val="61114123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480325510"/>
        <c:crosses val="autoZero"/>
        <c:auto val="1"/>
        <c:lblAlgn val="ctr"/>
        <c:lblOffset val="100"/>
        <c:noMultiLvlLbl val="0"/>
      </c:catAx>
      <c:valAx>
        <c:axId val="4803255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111412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82524394880243"/>
          <c:y val="0.503217897640208"/>
          <c:w val="0.108604739576733"/>
          <c:h val="0.102666258044744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036d963-e452-43cf-b245-4f9d38d6b718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TUNISIA BY DATES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6179688505599"/>
          <c:y val="0.176524390243902"/>
          <c:w val="0.762054318445102"/>
          <c:h val="0.676036585365854"/>
        </c:manualLayout>
      </c:layout>
      <c:lineChart>
        <c:grouping val="stacked"/>
        <c:varyColors val="0"/>
        <c:ser>
          <c:idx val="0"/>
          <c:order val="0"/>
          <c:tx>
            <c:strRef>
              <c:f>PIVOT!$B$37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00263157894736842"/>
                  <c:y val="-0.092592592592592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789473684210526"/>
                  <c:y val="-0.081018518518518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105263157894737"/>
                  <c:y val="-0.10879629629629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PIVOT!$A$38:$A$44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PIVOT!$B$38:$B$44</c:f>
              <c:numCache>
                <c:formatCode>General</c:formatCode>
                <c:ptCount val="7"/>
                <c:pt idx="0">
                  <c:v>1044426</c:v>
                </c:pt>
                <c:pt idx="1">
                  <c:v>1044426</c:v>
                </c:pt>
                <c:pt idx="2">
                  <c:v>1044426</c:v>
                </c:pt>
                <c:pt idx="3">
                  <c:v>1044426</c:v>
                </c:pt>
                <c:pt idx="4">
                  <c:v>1044426</c:v>
                </c:pt>
                <c:pt idx="5">
                  <c:v>1044426</c:v>
                </c:pt>
                <c:pt idx="6">
                  <c:v>1046703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75776125"/>
        <c:axId val="500930702"/>
      </c:lineChart>
      <c:catAx>
        <c:axId val="8757761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500930702"/>
        <c:crosses val="autoZero"/>
        <c:auto val="1"/>
        <c:lblAlgn val="ctr"/>
        <c:lblOffset val="100"/>
        <c:noMultiLvlLbl val="0"/>
      </c:catAx>
      <c:valAx>
        <c:axId val="5009307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8757761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83382674732913"/>
          <c:y val="0.509146341463415"/>
          <c:w val="0.109409190371991"/>
          <c:h val="0.1021341463414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68de776-7014-42a7-96bd-9d130dc0f878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EGYPT BY DATES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8250773645655"/>
          <c:y val="0.009088155104513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789473684211"/>
          <c:y val="0.177083333333333"/>
          <c:w val="0.772157894736842"/>
          <c:h val="0.710972222222222"/>
        </c:manualLayout>
      </c:layout>
      <c:lineChart>
        <c:grouping val="stacked"/>
        <c:varyColors val="0"/>
        <c:ser>
          <c:idx val="0"/>
          <c:order val="0"/>
          <c:tx>
            <c:strRef>
              <c:f>PIVOT!$B$46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00657894736842105"/>
                  <c:y val="-0.057870370370370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034722222222222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-0.04861111111111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PIVOT!$A$47:$A$53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PIVOT!$B$47:$B$53</c:f>
              <c:numCache>
                <c:formatCode>General</c:formatCode>
                <c:ptCount val="7"/>
                <c:pt idx="0">
                  <c:v>515645</c:v>
                </c:pt>
                <c:pt idx="1">
                  <c:v>515645</c:v>
                </c:pt>
                <c:pt idx="2">
                  <c:v>515645</c:v>
                </c:pt>
                <c:pt idx="3">
                  <c:v>515645</c:v>
                </c:pt>
                <c:pt idx="4">
                  <c:v>515645</c:v>
                </c:pt>
                <c:pt idx="5">
                  <c:v>515645</c:v>
                </c:pt>
                <c:pt idx="6">
                  <c:v>515645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62219833"/>
        <c:axId val="750409372"/>
      </c:lineChart>
      <c:catAx>
        <c:axId val="5622198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750409372"/>
        <c:crosses val="autoZero"/>
        <c:auto val="1"/>
        <c:lblAlgn val="ctr"/>
        <c:lblOffset val="100"/>
        <c:noMultiLvlLbl val="0"/>
      </c:catAx>
      <c:valAx>
        <c:axId val="7504093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5622198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8036410923277"/>
          <c:y val="0.506944444444444"/>
          <c:w val="0.103901170351105"/>
          <c:h val="0.07754629629629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1218f5e-0e2d-443a-ac16-020fe12f62df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LIBYA BY DATES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69043794838848"/>
          <c:y val="0.164383561643836"/>
          <c:w val="0.775286433236963"/>
          <c:h val="0.703123287671233"/>
        </c:manualLayout>
      </c:layout>
      <c:lineChart>
        <c:grouping val="stacked"/>
        <c:varyColors val="0"/>
        <c:ser>
          <c:idx val="0"/>
          <c:order val="0"/>
          <c:tx>
            <c:strRef>
              <c:f>PIVOT!$B$55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-0.05753424657534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107077845593747"/>
                  <c:y val="-0.0465753424657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203447906628119"/>
                  <c:y val="-0.0465753424657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PIVOT!$A$56:$A$62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PIVOT!$B$56:$B$62</c:f>
              <c:numCache>
                <c:formatCode>General</c:formatCode>
                <c:ptCount val="7"/>
                <c:pt idx="0">
                  <c:v>502076</c:v>
                </c:pt>
                <c:pt idx="1">
                  <c:v>502076</c:v>
                </c:pt>
                <c:pt idx="2">
                  <c:v>502076</c:v>
                </c:pt>
                <c:pt idx="3">
                  <c:v>502076</c:v>
                </c:pt>
                <c:pt idx="4">
                  <c:v>502076</c:v>
                </c:pt>
                <c:pt idx="5">
                  <c:v>502110</c:v>
                </c:pt>
                <c:pt idx="6">
                  <c:v>502110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25387277"/>
        <c:axId val="675948118"/>
      </c:lineChart>
      <c:catAx>
        <c:axId val="72538727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75948118"/>
        <c:crosses val="autoZero"/>
        <c:auto val="1"/>
        <c:lblAlgn val="ctr"/>
        <c:lblOffset val="100"/>
        <c:noMultiLvlLbl val="0"/>
      </c:catAx>
      <c:valAx>
        <c:axId val="675948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725387277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8561268-c9ca-482c-9774-d438508b2b06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CASES IN ETHIOPIA BY DATES 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PIVOT!$B$64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PIVOT!$A$65:$A$71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PIVOT!$B$65:$B$71</c:f>
              <c:numCache>
                <c:formatCode>General</c:formatCode>
                <c:ptCount val="7"/>
                <c:pt idx="0">
                  <c:v>481225</c:v>
                </c:pt>
                <c:pt idx="1">
                  <c:v>481225</c:v>
                </c:pt>
                <c:pt idx="2">
                  <c:v>482888</c:v>
                </c:pt>
                <c:pt idx="3">
                  <c:v>483739</c:v>
                </c:pt>
                <c:pt idx="4">
                  <c:v>483739</c:v>
                </c:pt>
                <c:pt idx="5">
                  <c:v>484536</c:v>
                </c:pt>
                <c:pt idx="6">
                  <c:v>485047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0947773"/>
        <c:axId val="629086268"/>
      </c:lineChart>
      <c:catAx>
        <c:axId val="8509477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9086268"/>
        <c:crosses val="autoZero"/>
        <c:auto val="1"/>
        <c:lblAlgn val="ctr"/>
        <c:lblOffset val="100"/>
        <c:noMultiLvlLbl val="0"/>
      </c:catAx>
      <c:valAx>
        <c:axId val="6290862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09477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8661899897855"/>
          <c:y val="0.50805226374962"/>
          <c:w val="0.105847803881512"/>
          <c:h val="0.07383773928896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005282e-8a6f-49c4-92a7-14627e1bdfc2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REUNION BY DATES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789473684211"/>
          <c:y val="0.177083333333333"/>
          <c:w val="0.744526315789474"/>
          <c:h val="0.710972222222222"/>
        </c:manualLayout>
      </c:layout>
      <c:lineChart>
        <c:grouping val="stacked"/>
        <c:varyColors val="0"/>
        <c:ser>
          <c:idx val="0"/>
          <c:order val="0"/>
          <c:tx>
            <c:strRef>
              <c:f>PIVOT!$B$73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0263157894736842"/>
                  <c:y val="-0.053240740740740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526315789473684"/>
                  <c:y val="-0.06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210526315789474"/>
                  <c:y val="-0.090277777777777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42105263157895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PIVOT!$A$74:$A$80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PIVOT!$B$74:$B$80</c:f>
              <c:numCache>
                <c:formatCode>General</c:formatCode>
                <c:ptCount val="7"/>
                <c:pt idx="0">
                  <c:v>419968</c:v>
                </c:pt>
                <c:pt idx="1">
                  <c:v>419968</c:v>
                </c:pt>
                <c:pt idx="2">
                  <c:v>419968</c:v>
                </c:pt>
                <c:pt idx="3">
                  <c:v>419968</c:v>
                </c:pt>
                <c:pt idx="4">
                  <c:v>419968</c:v>
                </c:pt>
                <c:pt idx="5">
                  <c:v>419968</c:v>
                </c:pt>
                <c:pt idx="6">
                  <c:v>421269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1386927"/>
        <c:axId val="388760118"/>
      </c:lineChart>
      <c:catAx>
        <c:axId val="101386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388760118"/>
        <c:crosses val="autoZero"/>
        <c:auto val="1"/>
        <c:lblAlgn val="ctr"/>
        <c:lblOffset val="100"/>
        <c:noMultiLvlLbl val="0"/>
      </c:catAx>
      <c:valAx>
        <c:axId val="388760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10138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f3b7a16-839e-44cb-85fc-e5587edadba3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KENYA BY DATES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PIVOT!$B$82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PIVOT!$A$83:$A$89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PIVOT!$B$83:$B$89</c:f>
              <c:numCache>
                <c:formatCode>General</c:formatCode>
                <c:ptCount val="7"/>
                <c:pt idx="0">
                  <c:v>327892</c:v>
                </c:pt>
                <c:pt idx="1">
                  <c:v>327892</c:v>
                </c:pt>
                <c:pt idx="2">
                  <c:v>328709</c:v>
                </c:pt>
                <c:pt idx="3">
                  <c:v>329107</c:v>
                </c:pt>
                <c:pt idx="4">
                  <c:v>329107</c:v>
                </c:pt>
                <c:pt idx="5">
                  <c:v>329605</c:v>
                </c:pt>
                <c:pt idx="6">
                  <c:v>330024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36647188"/>
        <c:axId val="503991955"/>
      </c:lineChart>
      <c:catAx>
        <c:axId val="8366471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503991955"/>
        <c:crosses val="autoZero"/>
        <c:auto val="1"/>
        <c:lblAlgn val="ctr"/>
        <c:lblOffset val="100"/>
        <c:noMultiLvlLbl val="0"/>
      </c:catAx>
      <c:valAx>
        <c:axId val="5039919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836647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cf559ca-8509-43f3-a125-a6cd6dd9d41b}"/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ZAMBIA BY DATES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PIVOT!$B$91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0.00131578947368421"/>
                  <c:y val="-0.0717592592592593"/>
                </c:manualLayout>
              </c:layout>
              <c:numFmt formatCode="General" sourceLinked="1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PIVOT!$A$92:$A$98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PIVOT!$B$92:$B$98</c:f>
              <c:numCache>
                <c:formatCode>General</c:formatCode>
                <c:ptCount val="7"/>
                <c:pt idx="0">
                  <c:v>323654</c:v>
                </c:pt>
                <c:pt idx="1">
                  <c:v>323654</c:v>
                </c:pt>
                <c:pt idx="2">
                  <c:v>324025</c:v>
                </c:pt>
                <c:pt idx="3">
                  <c:v>324025</c:v>
                </c:pt>
                <c:pt idx="4">
                  <c:v>324025</c:v>
                </c:pt>
                <c:pt idx="5">
                  <c:v>324344</c:v>
                </c:pt>
                <c:pt idx="6">
                  <c:v>324558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6809472"/>
        <c:axId val="699942899"/>
      </c:lineChart>
      <c:catAx>
        <c:axId val="146809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99942899"/>
        <c:crosses val="autoZero"/>
        <c:auto val="1"/>
        <c:lblAlgn val="ctr"/>
        <c:lblOffset val="100"/>
        <c:noMultiLvlLbl val="0"/>
      </c:catAx>
      <c:valAx>
        <c:axId val="6999428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14680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bdc97b6-9a92-4ae7-b598-6a0c955aa4f4}"/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BOTSWANA BY DATES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PIVOT!$B$100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00131578947368421"/>
                  <c:y val="-0.03935185185185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31578947368421"/>
                  <c:y val="-0.053240740740740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171052631578947"/>
                  <c:y val="-0.076388888888888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PIVOT!$A$101:$A$107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PIVOT!$B$101:$B$107</c:f>
              <c:numCache>
                <c:formatCode>General</c:formatCode>
                <c:ptCount val="7"/>
                <c:pt idx="0">
                  <c:v>314242</c:v>
                </c:pt>
                <c:pt idx="1">
                  <c:v>314242</c:v>
                </c:pt>
                <c:pt idx="2">
                  <c:v>314242</c:v>
                </c:pt>
                <c:pt idx="3">
                  <c:v>314242</c:v>
                </c:pt>
                <c:pt idx="4">
                  <c:v>314242</c:v>
                </c:pt>
                <c:pt idx="5">
                  <c:v>314242</c:v>
                </c:pt>
                <c:pt idx="6">
                  <c:v>318528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2292064"/>
        <c:axId val="742869376"/>
      </c:lineChart>
      <c:catAx>
        <c:axId val="182292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742869376"/>
        <c:crosses val="autoZero"/>
        <c:auto val="1"/>
        <c:lblAlgn val="ctr"/>
        <c:lblOffset val="100"/>
        <c:noMultiLvlLbl val="0"/>
      </c:catAx>
      <c:valAx>
        <c:axId val="74286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18229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4e6e2fe-42eb-4eec-bed9-ab83eaca0876}"/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1.xlsx]PIVOT!PivotTable26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SAINT HELENA BY DATES </a:t>
            </a:r>
            <a:endParaRPr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64597949271452"/>
          <c:y val="0.165449438202247"/>
          <c:w val="0.788909875876956"/>
          <c:h val="0.698707865168539"/>
        </c:manualLayout>
      </c:layout>
      <c:lineChart>
        <c:grouping val="standard"/>
        <c:varyColors val="0"/>
        <c:ser>
          <c:idx val="0"/>
          <c:order val="0"/>
          <c:tx>
            <c:strRef>
              <c:f>PIVOT!$E$18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PIVOT!$D$19:$D$25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PIVOT!$E$19:$E$25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61089411"/>
        <c:axId val="84187882"/>
      </c:lineChart>
      <c:catAx>
        <c:axId val="8610894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84187882"/>
        <c:crosses val="autoZero"/>
        <c:auto val="1"/>
        <c:lblAlgn val="ctr"/>
        <c:lblOffset val="100"/>
        <c:noMultiLvlLbl val="0"/>
      </c:catAx>
      <c:valAx>
        <c:axId val="841878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8610894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66162978953049"/>
          <c:y val="0.508426966292135"/>
          <c:w val="0.117647058823529"/>
          <c:h val="0.094101123595505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3692af1-57b3-462f-bc88-f1f96faf4784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1.xlsx]PIVOT!PivotTable27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WESTERN SAHARA BY DATES </a:t>
            </a:r>
            <a:endParaRPr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PIVOT!$E$27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F0000">
                  <a:alpha val="9700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PIVOT!$D$28:$D$34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PIVOT!$E$28:$E$34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2930076"/>
        <c:axId val="607514984"/>
      </c:lineChart>
      <c:catAx>
        <c:axId val="9429300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07514984"/>
        <c:crosses val="autoZero"/>
        <c:auto val="1"/>
        <c:lblAlgn val="ctr"/>
        <c:lblOffset val="100"/>
        <c:noMultiLvlLbl val="0"/>
      </c:catAx>
      <c:valAx>
        <c:axId val="60751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9429300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72368421052632"/>
          <c:y val="0.506944444444444"/>
          <c:w val="0.111842105263158"/>
          <c:h val="0.077777777777777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06508bd-c229-439f-920f-f8d01dfaf331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1.xlsx]PIVOT!PivotTable28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ln>
                  <a:noFill/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SAO TOME AND PRINCIPE BY DATES  </a:t>
            </a:r>
            <a:endParaRPr b="1">
              <a:ln>
                <a:noFill/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131695827725437"/>
          <c:y val="0.008498583569405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89473684210526"/>
          <c:y val="0.177083333333333"/>
          <c:w val="0.83421052631579"/>
          <c:h val="0.771990740740741"/>
        </c:manualLayout>
      </c:layout>
      <c:lineChart>
        <c:grouping val="stacked"/>
        <c:varyColors val="0"/>
        <c:ser>
          <c:idx val="0"/>
          <c:order val="0"/>
          <c:tx>
            <c:strRef>
              <c:f>PIVOT!$E$36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FF0000">
                  <a:alpha val="97000"/>
                </a:srgbClr>
              </a:solidFill>
              <a:round/>
            </a:ln>
            <a:effectLst/>
            <a:sp3d contourW="31750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0.00131578947368421"/>
                  <c:y val="-0.030092592592592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134589502018843"/>
                  <c:y val="0.0566572237960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0282637954239569"/>
                  <c:y val="0.01699716713881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PIVOT!$D$37:$D$43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PIVOT!$E$37:$E$43</c:f>
              <c:numCache>
                <c:formatCode>General</c:formatCode>
                <c:ptCount val="7"/>
                <c:pt idx="0">
                  <c:v>6010</c:v>
                </c:pt>
                <c:pt idx="1">
                  <c:v>6010</c:v>
                </c:pt>
                <c:pt idx="2">
                  <c:v>6010</c:v>
                </c:pt>
                <c:pt idx="3">
                  <c:v>6010</c:v>
                </c:pt>
                <c:pt idx="4">
                  <c:v>6010</c:v>
                </c:pt>
                <c:pt idx="5">
                  <c:v>6023</c:v>
                </c:pt>
                <c:pt idx="6">
                  <c:v>6023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97252108"/>
        <c:axId val="302480118"/>
      </c:lineChart>
      <c:catAx>
        <c:axId val="19725210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302480118"/>
        <c:crosses val="autoZero"/>
        <c:auto val="1"/>
        <c:lblAlgn val="ctr"/>
        <c:lblOffset val="100"/>
        <c:noMultiLvlLbl val="0"/>
      </c:catAx>
      <c:valAx>
        <c:axId val="3024801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1972521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ln>
                <a:noFill/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6b94114-76bb-4ecf-afc8-79612c66423d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ln>
            <a:noFill/>
          </a:ln>
          <a:solidFill>
            <a:schemeClr val="bg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1.xlsx]PIVOT!PivotTable29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CHAD BY DATES  </a:t>
            </a:r>
            <a:endParaRPr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306184210526316"/>
          <c:y val="0.028240739747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28421052631579"/>
          <c:y val="0.155092592592593"/>
          <c:w val="0.807947368421053"/>
          <c:h val="0.732962962962963"/>
        </c:manualLayout>
      </c:layout>
      <c:lineChart>
        <c:grouping val="standard"/>
        <c:varyColors val="0"/>
        <c:ser>
          <c:idx val="0"/>
          <c:order val="0"/>
          <c:tx>
            <c:strRef>
              <c:f>PIVOT!$E$45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rgbClr val="FF0000">
                  <a:alpha val="98000"/>
                </a:srgbClr>
              </a:solidFill>
              <a:round/>
            </a:ln>
            <a:effectLst/>
            <a:sp3d contourW="31750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4"/>
              <c:layout>
                <c:manualLayout>
                  <c:x val="-0.0144736842105263"/>
                  <c:y val="-0.016203703703703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89473684210526"/>
                      <c:h val="0.078472222222222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PIVOT!$D$46:$D$52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PIVOT!$E$46:$E$52</c:f>
              <c:numCache>
                <c:formatCode>General</c:formatCode>
                <c:ptCount val="7"/>
                <c:pt idx="0">
                  <c:v>7420</c:v>
                </c:pt>
                <c:pt idx="1">
                  <c:v>7420</c:v>
                </c:pt>
                <c:pt idx="2">
                  <c:v>7420</c:v>
                </c:pt>
                <c:pt idx="3">
                  <c:v>7420</c:v>
                </c:pt>
                <c:pt idx="4">
                  <c:v>7420</c:v>
                </c:pt>
                <c:pt idx="5">
                  <c:v>7424</c:v>
                </c:pt>
                <c:pt idx="6">
                  <c:v>7424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1154740"/>
        <c:axId val="470679305"/>
      </c:lineChart>
      <c:catAx>
        <c:axId val="2011547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470679305"/>
        <c:crosses val="autoZero"/>
        <c:auto val="1"/>
        <c:lblAlgn val="ctr"/>
        <c:lblOffset val="100"/>
        <c:noMultiLvlLbl val="0"/>
      </c:catAx>
      <c:valAx>
        <c:axId val="4706793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01154740"/>
        <c:crosses val="autoZero"/>
        <c:crossBetween val="between"/>
      </c:valAx>
      <c:spPr>
        <a:solidFill>
          <a:schemeClr val="accent1">
            <a:lumMod val="75000"/>
          </a:schemeClr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86842105263158"/>
          <c:y val="0.506944444444444"/>
          <c:w val="0.107894736842105"/>
          <c:h val="0.07754629629629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676d9b-6e21-4147-8d70-6975d25dcf5b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ln>
                  <a:noFill/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LIBERIA BY DATES </a:t>
            </a:r>
            <a:endParaRPr b="1">
              <a:ln>
                <a:noFill/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PIVOT!$E$54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F0000">
                  <a:alpha val="97000"/>
                </a:srgbClr>
              </a:solidFill>
              <a:round/>
            </a:ln>
            <a:effectLst/>
            <a:sp3d contourW="34925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PIVOT!$D$55:$D$61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PIVOT!$E$55:$E$61</c:f>
              <c:numCache>
                <c:formatCode>General</c:formatCode>
                <c:ptCount val="7"/>
                <c:pt idx="0">
                  <c:v>7460</c:v>
                </c:pt>
                <c:pt idx="1">
                  <c:v>7460</c:v>
                </c:pt>
                <c:pt idx="2">
                  <c:v>7489</c:v>
                </c:pt>
                <c:pt idx="3">
                  <c:v>7489</c:v>
                </c:pt>
                <c:pt idx="4">
                  <c:v>7489</c:v>
                </c:pt>
                <c:pt idx="5">
                  <c:v>7493</c:v>
                </c:pt>
                <c:pt idx="6">
                  <c:v>7493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8047282"/>
        <c:axId val="363964253"/>
      </c:lineChart>
      <c:catAx>
        <c:axId val="8480472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363964253"/>
        <c:crosses val="autoZero"/>
        <c:auto val="1"/>
        <c:lblAlgn val="ctr"/>
        <c:lblOffset val="100"/>
        <c:noMultiLvlLbl val="0"/>
      </c:catAx>
      <c:valAx>
        <c:axId val="3639642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8480472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ln>
                  <a:noFill/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ln>
                <a:noFill/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7c93fbc-be2c-4330-b688-3a006bc2aedb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ln>
            <a:noFill/>
          </a:ln>
          <a:solidFill>
            <a:schemeClr val="bg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SIERRA LEONE BY DATES </a:t>
            </a:r>
            <a:endParaRPr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54802631578947"/>
          <c:y val="0.05138888789547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1131578947368"/>
          <c:y val="0.177083333333333"/>
          <c:w val="0.760710526315789"/>
          <c:h val="0.710972222222222"/>
        </c:manualLayout>
      </c:layout>
      <c:lineChart>
        <c:grouping val="stacked"/>
        <c:varyColors val="0"/>
        <c:ser>
          <c:idx val="0"/>
          <c:order val="0"/>
          <c:tx>
            <c:strRef>
              <c:f>PIVOT!$E$63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F0000">
                  <a:alpha val="97000"/>
                </a:srgbClr>
              </a:solidFill>
              <a:round/>
            </a:ln>
            <a:effectLst/>
            <a:sp3d contourW="34925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0.00657894736842105"/>
                  <c:y val="-0.011574074074074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PIVOT!$D$64:$D$70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PIVOT!$E$64:$E$70</c:f>
              <c:numCache>
                <c:formatCode>General</c:formatCode>
                <c:ptCount val="7"/>
                <c:pt idx="0">
                  <c:v>7685</c:v>
                </c:pt>
                <c:pt idx="1">
                  <c:v>7685</c:v>
                </c:pt>
                <c:pt idx="2">
                  <c:v>7688</c:v>
                </c:pt>
                <c:pt idx="3">
                  <c:v>7688</c:v>
                </c:pt>
                <c:pt idx="4">
                  <c:v>7688</c:v>
                </c:pt>
                <c:pt idx="5">
                  <c:v>7688</c:v>
                </c:pt>
                <c:pt idx="6">
                  <c:v>7688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3734494"/>
        <c:axId val="589982044"/>
      </c:lineChart>
      <c:catAx>
        <c:axId val="2837344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589982044"/>
        <c:crosses val="autoZero"/>
        <c:auto val="1"/>
        <c:lblAlgn val="ctr"/>
        <c:lblOffset val="100"/>
        <c:noMultiLvlLbl val="0"/>
      </c:catAx>
      <c:valAx>
        <c:axId val="5899820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837344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75"/>
          <c:y val="0.506944444444444"/>
          <c:w val="0.109210526315789"/>
          <c:h val="0.07754629629629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7304a06-e480-4344-bcf8-25d949ce6e24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COMOROS BY DATES </a:t>
            </a:r>
            <a:endParaRPr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725"/>
          <c:y val="0.028240739747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PIVOT!$E$72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F0000">
                  <a:alpha val="97000"/>
                </a:srgbClr>
              </a:solidFill>
              <a:round/>
            </a:ln>
            <a:effectLst/>
            <a:sp3d contourW="34925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PIVOT!$D$73:$D$79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PIVOT!$E$73:$E$79</c:f>
              <c:numCache>
                <c:formatCode>General</c:formatCode>
                <c:ptCount val="7"/>
                <c:pt idx="0">
                  <c:v>8100</c:v>
                </c:pt>
                <c:pt idx="1">
                  <c:v>8100</c:v>
                </c:pt>
                <c:pt idx="2">
                  <c:v>8100</c:v>
                </c:pt>
                <c:pt idx="3">
                  <c:v>8100</c:v>
                </c:pt>
                <c:pt idx="4">
                  <c:v>8100</c:v>
                </c:pt>
                <c:pt idx="5">
                  <c:v>8100</c:v>
                </c:pt>
                <c:pt idx="6">
                  <c:v>8100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5016801"/>
        <c:axId val="775172558"/>
      </c:lineChart>
      <c:catAx>
        <c:axId val="9950168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775172558"/>
        <c:crosses val="autoZero"/>
        <c:auto val="1"/>
        <c:lblAlgn val="ctr"/>
        <c:lblOffset val="100"/>
        <c:noMultiLvlLbl val="0"/>
      </c:catAx>
      <c:valAx>
        <c:axId val="7751725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9950168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84210526315789"/>
          <c:y val="0.506944444444444"/>
          <c:w val="0.111842105263158"/>
          <c:h val="0.077546296296296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776010b-9f80-4e4a-8372-192b69fb1b55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</a:rPr>
              <a:t>CASES IN GUINEA-BISSAU BY DATES </a:t>
            </a:r>
            <a:endParaRPr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PIVOT!$E$82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F0000">
                  <a:alpha val="96000"/>
                </a:srgbClr>
              </a:solidFill>
              <a:round/>
            </a:ln>
            <a:effectLst/>
            <a:sp3d contourW="34925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PIVOT!$D$83:$D$89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PIVOT!$E$83:$E$89</c:f>
              <c:numCache>
                <c:formatCode>General</c:formatCode>
                <c:ptCount val="7"/>
                <c:pt idx="0">
                  <c:v>8307</c:v>
                </c:pt>
                <c:pt idx="1">
                  <c:v>8307</c:v>
                </c:pt>
                <c:pt idx="2">
                  <c:v>8307</c:v>
                </c:pt>
                <c:pt idx="3">
                  <c:v>8307</c:v>
                </c:pt>
                <c:pt idx="4">
                  <c:v>8307</c:v>
                </c:pt>
                <c:pt idx="5">
                  <c:v>8307</c:v>
                </c:pt>
                <c:pt idx="6">
                  <c:v>8347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42537251"/>
        <c:axId val="168523043"/>
      </c:lineChart>
      <c:catAx>
        <c:axId val="9425372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68523043"/>
        <c:crosses val="autoZero"/>
        <c:auto val="1"/>
        <c:lblAlgn val="ctr"/>
        <c:lblOffset val="100"/>
        <c:noMultiLvlLbl val="0"/>
      </c:catAx>
      <c:valAx>
        <c:axId val="1685230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425372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be9ca48-d3ab-4ed7-9efa-8be2f5c9149e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CASES IN NIGER BY DATES </a:t>
            </a:r>
            <a:endParaRPr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68418223357076"/>
          <c:y val="0.219134918361501"/>
          <c:w val="0.743099045827174"/>
          <c:h val="0.568433113720997"/>
        </c:manualLayout>
      </c:layout>
      <c:lineChart>
        <c:grouping val="stacked"/>
        <c:varyColors val="0"/>
        <c:ser>
          <c:idx val="0"/>
          <c:order val="0"/>
          <c:tx>
            <c:strRef>
              <c:f>PIVOT!$E$91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F0000">
                  <a:alpha val="97000"/>
                </a:srgbClr>
              </a:solidFill>
              <a:round/>
            </a:ln>
            <a:effectLst/>
            <a:sp3d contourW="34925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PIVOT!$D$92:$D$98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PIVOT!$E$92:$E$98</c:f>
              <c:numCache>
                <c:formatCode>General</c:formatCode>
                <c:ptCount val="7"/>
                <c:pt idx="0">
                  <c:v>9031</c:v>
                </c:pt>
                <c:pt idx="1">
                  <c:v>9031</c:v>
                </c:pt>
                <c:pt idx="2">
                  <c:v>9031</c:v>
                </c:pt>
                <c:pt idx="3">
                  <c:v>9031</c:v>
                </c:pt>
                <c:pt idx="4">
                  <c:v>9031</c:v>
                </c:pt>
                <c:pt idx="5">
                  <c:v>9031</c:v>
                </c:pt>
                <c:pt idx="6">
                  <c:v>9031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1325275"/>
        <c:axId val="286313064"/>
      </c:lineChart>
      <c:catAx>
        <c:axId val="4913252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86313064"/>
        <c:crosses val="autoZero"/>
        <c:auto val="1"/>
        <c:lblAlgn val="ctr"/>
        <c:lblOffset val="100"/>
        <c:noMultiLvlLbl val="0"/>
      </c:catAx>
      <c:valAx>
        <c:axId val="28631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4913252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0a27797-a775-4b0e-b1a2-43f02861057e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bg1"/>
                </a:solidFill>
              </a:rPr>
              <a:t>CASES IN ERITREA BY DATES </a:t>
            </a:r>
            <a:endParaRPr b="1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224462183737"/>
          <c:y val="0.144931583356604"/>
          <c:w val="0.739196319848464"/>
          <c:h val="0.55638089919017"/>
        </c:manualLayout>
      </c:layout>
      <c:lineChart>
        <c:grouping val="stacked"/>
        <c:varyColors val="0"/>
        <c:ser>
          <c:idx val="0"/>
          <c:order val="0"/>
          <c:tx>
            <c:strRef>
              <c:f>PIVOT!$E$100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rgbClr val="FF0000">
                  <a:alpha val="97000"/>
                </a:srgbClr>
              </a:solidFill>
              <a:round/>
            </a:ln>
            <a:effectLst/>
            <a:sp3d contourW="34925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PIVOT!$D$101:$D$107</c:f>
              <c:strCache>
                <c:ptCount val="7"/>
                <c:pt idx="0">
                  <c:v>15/6/2022</c:v>
                </c:pt>
                <c:pt idx="1">
                  <c:v>16/6/2022</c:v>
                </c:pt>
                <c:pt idx="2">
                  <c:v>17/6/2022</c:v>
                </c:pt>
                <c:pt idx="3">
                  <c:v>18/6/2022</c:v>
                </c:pt>
                <c:pt idx="4">
                  <c:v>19/6/2022</c:v>
                </c:pt>
                <c:pt idx="5">
                  <c:v>20/6/2022</c:v>
                </c:pt>
                <c:pt idx="6">
                  <c:v>21/6/2022</c:v>
                </c:pt>
              </c:strCache>
            </c:strRef>
          </c:cat>
          <c:val>
            <c:numRef>
              <c:f>PIVOT!$E$101:$E$107</c:f>
              <c:numCache>
                <c:formatCode>General</c:formatCode>
                <c:ptCount val="7"/>
                <c:pt idx="0">
                  <c:v>9773</c:v>
                </c:pt>
                <c:pt idx="1">
                  <c:v>9773</c:v>
                </c:pt>
                <c:pt idx="2">
                  <c:v>9775</c:v>
                </c:pt>
                <c:pt idx="3">
                  <c:v>9777</c:v>
                </c:pt>
                <c:pt idx="4">
                  <c:v>9777</c:v>
                </c:pt>
                <c:pt idx="5">
                  <c:v>9777</c:v>
                </c:pt>
                <c:pt idx="6">
                  <c:v>9782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4331660"/>
        <c:axId val="320406421"/>
      </c:lineChart>
      <c:catAx>
        <c:axId val="8243316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20406421"/>
        <c:crosses val="autoZero"/>
        <c:auto val="1"/>
        <c:lblAlgn val="ctr"/>
        <c:lblOffset val="100"/>
        <c:noMultiLvlLbl val="0"/>
      </c:catAx>
      <c:valAx>
        <c:axId val="3204064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243316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c3f952e-5191-429b-a808-9874ef99402c}"/>
      </c:ext>
    </c:extLst>
  </c:chart>
  <c:spPr>
    <a:solidFill>
      <a:schemeClr val="accent1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1.xlsx]PIVOT!PivotTable19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sz="1320"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MORTALITY RATE (%) BY COUNTRY </a:t>
            </a:r>
            <a:endParaRPr sz="132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28906955736224"/>
          <c:y val="0.125027466490881"/>
          <c:w val="0.805910440056781"/>
          <c:h val="0.823994726433751"/>
        </c:manualLayout>
      </c:layout>
      <c:pie3DChart>
        <c:varyColors val="1"/>
        <c:ser>
          <c:idx val="0"/>
          <c:order val="0"/>
          <c:tx>
            <c:strRef>
              <c:f>PIVOT!$B$110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9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/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rgbClr val="000000">
                    <a:lumMod val="50000"/>
                    <a:alpha val="30000"/>
                  </a:srgbClr>
                </a:outerShdw>
              </a:effectLst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PIVOT!$A$111:$A$116</c:f>
              <c:strCache>
                <c:ptCount val="6"/>
                <c:pt idx="0">
                  <c:v>Egypt</c:v>
                </c:pt>
                <c:pt idx="1">
                  <c:v>Kenya</c:v>
                </c:pt>
                <c:pt idx="2">
                  <c:v>Ethiopia</c:v>
                </c:pt>
                <c:pt idx="3">
                  <c:v>Morocco</c:v>
                </c:pt>
                <c:pt idx="4">
                  <c:v>Libya</c:v>
                </c:pt>
                <c:pt idx="5">
                  <c:v>Botswana</c:v>
                </c:pt>
              </c:strCache>
            </c:strRef>
          </c:cat>
          <c:val>
            <c:numRef>
              <c:f>PIVOT!$B$111:$B$116</c:f>
              <c:numCache>
                <c:formatCode>General</c:formatCode>
                <c:ptCount val="6"/>
                <c:pt idx="0">
                  <c:v>4.77324515897565</c:v>
                </c:pt>
                <c:pt idx="1">
                  <c:v>1.71447641874365</c:v>
                </c:pt>
                <c:pt idx="2">
                  <c:v>1.55282579622567</c:v>
                </c:pt>
                <c:pt idx="3">
                  <c:v>1.35572565917493</c:v>
                </c:pt>
                <c:pt idx="4">
                  <c:v>1.28059588536376</c:v>
                </c:pt>
                <c:pt idx="5">
                  <c:v>0.862074452173802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35075493612079"/>
          <c:y val="0.35497692814766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927b8e8-939d-426f-829d-2e42be3370a7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1.xlsx]PIVOT!PivotTable20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RECOVERY RATE (%) BY COUNTRY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0789473684211"/>
          <c:y val="0.130092592592593"/>
          <c:w val="0.471052631578947"/>
          <c:h val="0.828703703703704"/>
        </c:manualLayout>
      </c:layout>
      <c:doughnutChart>
        <c:varyColors val="1"/>
        <c:ser>
          <c:idx val="0"/>
          <c:order val="0"/>
          <c:tx>
            <c:strRef>
              <c:f>PIVOT!$E$110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PIVOT!$D$111:$D$116</c:f>
              <c:strCache>
                <c:ptCount val="6"/>
                <c:pt idx="0">
                  <c:v>Libya</c:v>
                </c:pt>
                <c:pt idx="1">
                  <c:v>Morocco</c:v>
                </c:pt>
                <c:pt idx="2">
                  <c:v>Botswana</c:v>
                </c:pt>
                <c:pt idx="3">
                  <c:v>Kenya</c:v>
                </c:pt>
                <c:pt idx="4">
                  <c:v>Ethiopia</c:v>
                </c:pt>
                <c:pt idx="5">
                  <c:v>Egypt</c:v>
                </c:pt>
              </c:strCache>
            </c:strRef>
          </c:cat>
          <c:val>
            <c:numRef>
              <c:f>PIVOT!$E$111:$E$116</c:f>
              <c:numCache>
                <c:formatCode>General</c:formatCode>
                <c:ptCount val="6"/>
                <c:pt idx="0">
                  <c:v>97.7819601282587</c:v>
                </c:pt>
                <c:pt idx="1">
                  <c:v>97.7687454123009</c:v>
                </c:pt>
                <c:pt idx="2">
                  <c:v>97.4147313217202</c:v>
                </c:pt>
                <c:pt idx="3">
                  <c:v>97.3280138347416</c:v>
                </c:pt>
                <c:pt idx="4">
                  <c:v>94.6006075915928</c:v>
                </c:pt>
                <c:pt idx="5">
                  <c:v>85.7531829068448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f9a222-756e-4aa1-aef0-ca5d472b7888}"/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MORTALITY RATE (%) BY COUNTRY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711035267349261"/>
          <c:y val="0.14716391246092"/>
          <c:w val="0.709215017064846"/>
          <c:h val="0.786065207682001"/>
        </c:manualLayout>
      </c:layout>
      <c:pie3DChart>
        <c:varyColors val="1"/>
        <c:ser>
          <c:idx val="0"/>
          <c:order val="0"/>
          <c:tx>
            <c:strRef>
              <c:f>PIVOT!$B$117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9525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PIVOT!$A$118:$A$123</c:f>
              <c:strCache>
                <c:ptCount val="6"/>
                <c:pt idx="0">
                  <c:v>Liberia</c:v>
                </c:pt>
                <c:pt idx="1">
                  <c:v>Niger</c:v>
                </c:pt>
                <c:pt idx="2">
                  <c:v>Chad</c:v>
                </c:pt>
                <c:pt idx="3">
                  <c:v>Guinea-Bissau</c:v>
                </c:pt>
                <c:pt idx="4">
                  <c:v>Comoros</c:v>
                </c:pt>
                <c:pt idx="5">
                  <c:v>Eritrea</c:v>
                </c:pt>
              </c:strCache>
            </c:strRef>
          </c:cat>
          <c:val>
            <c:numRef>
              <c:f>PIVOT!$B$118:$B$123</c:f>
              <c:numCache>
                <c:formatCode>General</c:formatCode>
                <c:ptCount val="6"/>
                <c:pt idx="0">
                  <c:v>3.9236620846123</c:v>
                </c:pt>
                <c:pt idx="1">
                  <c:v>3.43262097220684</c:v>
                </c:pt>
                <c:pt idx="2">
                  <c:v>2.59967672413793</c:v>
                </c:pt>
                <c:pt idx="3">
                  <c:v>2.05850487540628</c:v>
                </c:pt>
                <c:pt idx="4">
                  <c:v>1.97530864197531</c:v>
                </c:pt>
                <c:pt idx="5">
                  <c:v>1.05349289148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bbd166a-fba7-48cd-b323-10dae967699c}"/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RECOVERY RATE (%) BY COUNTRY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5409236396891"/>
          <c:y val="0.129968021927821"/>
          <c:w val="0.426268861454047"/>
          <c:h val="0.851758793969849"/>
        </c:manualLayout>
      </c:layout>
      <c:doughnutChart>
        <c:varyColors val="1"/>
        <c:ser>
          <c:idx val="0"/>
          <c:order val="0"/>
          <c:tx>
            <c:strRef>
              <c:f>PIVOT!$E$117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</a:rPr>
                      <a:t>100</a:t>
                    </a:r>
                    <a:endParaRPr b="1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PIVOT!$D$118:$D$123</c:f>
              <c:strCache>
                <c:ptCount val="6"/>
                <c:pt idx="0">
                  <c:v>Eritrea</c:v>
                </c:pt>
                <c:pt idx="1">
                  <c:v>Comoros</c:v>
                </c:pt>
                <c:pt idx="2">
                  <c:v>Guinea-Bissau</c:v>
                </c:pt>
                <c:pt idx="3">
                  <c:v>Niger</c:v>
                </c:pt>
                <c:pt idx="4">
                  <c:v>Liberia</c:v>
                </c:pt>
                <c:pt idx="5">
                  <c:v>Chad</c:v>
                </c:pt>
              </c:strCache>
            </c:strRef>
          </c:cat>
          <c:val>
            <c:numRef>
              <c:f>PIVOT!$E$118:$E$123</c:f>
              <c:numCache>
                <c:formatCode>General</c:formatCode>
                <c:ptCount val="6"/>
                <c:pt idx="0">
                  <c:v>98.8749105042447</c:v>
                </c:pt>
                <c:pt idx="1">
                  <c:v>97.9382716049383</c:v>
                </c:pt>
                <c:pt idx="2">
                  <c:v>97.3275550740339</c:v>
                </c:pt>
                <c:pt idx="3">
                  <c:v>95.5375927361311</c:v>
                </c:pt>
                <c:pt idx="4">
                  <c:v>76.6982517015881</c:v>
                </c:pt>
                <c:pt idx="5">
                  <c:v>65.6519396551724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8680fd-d26c-45dc-a216-61deab9a79a0}"/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TESTS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PIVOT!$B$124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PIVOT!$A$125:$A$129</c:f>
              <c:strCache>
                <c:ptCount val="5"/>
                <c:pt idx="0">
                  <c:v>Ethiopia</c:v>
                </c:pt>
                <c:pt idx="1">
                  <c:v>Kenya</c:v>
                </c:pt>
                <c:pt idx="2">
                  <c:v>Morocco</c:v>
                </c:pt>
                <c:pt idx="3">
                  <c:v>South Africa</c:v>
                </c:pt>
                <c:pt idx="4">
                  <c:v>Tunisia</c:v>
                </c:pt>
              </c:strCache>
            </c:strRef>
          </c:cat>
          <c:val>
            <c:numRef>
              <c:f>PIVOT!$B$125:$B$129</c:f>
              <c:numCache>
                <c:formatCode>General</c:formatCode>
                <c:ptCount val="5"/>
                <c:pt idx="0">
                  <c:v>5020764</c:v>
                </c:pt>
                <c:pt idx="1">
                  <c:v>3724555</c:v>
                </c:pt>
                <c:pt idx="2">
                  <c:v>11804007</c:v>
                </c:pt>
                <c:pt idx="3">
                  <c:v>25604409</c:v>
                </c:pt>
                <c:pt idx="4">
                  <c:v>4647813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472657790"/>
        <c:axId val="521502822"/>
      </c:barChart>
      <c:catAx>
        <c:axId val="47265779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521502822"/>
        <c:crosses val="autoZero"/>
        <c:auto val="1"/>
        <c:lblAlgn val="ctr"/>
        <c:lblOffset val="100"/>
        <c:noMultiLvlLbl val="0"/>
      </c:catAx>
      <c:valAx>
        <c:axId val="52150282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4726577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8910c6b-37d5-42fd-996e-41364f36dd31}"/>
      </c:ext>
    </c:extLst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CASES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PIVOT!$E$124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PIVOT!$D$125:$D$129</c:f>
              <c:strCache>
                <c:ptCount val="5"/>
                <c:pt idx="0">
                  <c:v>Egypt</c:v>
                </c:pt>
                <c:pt idx="1">
                  <c:v>Libya</c:v>
                </c:pt>
                <c:pt idx="2">
                  <c:v>Morocco</c:v>
                </c:pt>
                <c:pt idx="3">
                  <c:v>South Africa</c:v>
                </c:pt>
                <c:pt idx="4">
                  <c:v>Tunisia</c:v>
                </c:pt>
              </c:strCache>
            </c:strRef>
          </c:cat>
          <c:val>
            <c:numRef>
              <c:f>PIVOT!$E$125:$E$129</c:f>
              <c:numCache>
                <c:formatCode>General</c:formatCode>
                <c:ptCount val="5"/>
                <c:pt idx="0">
                  <c:v>515645</c:v>
                </c:pt>
                <c:pt idx="1">
                  <c:v>502110</c:v>
                </c:pt>
                <c:pt idx="2">
                  <c:v>1186597</c:v>
                </c:pt>
                <c:pt idx="3">
                  <c:v>3986892</c:v>
                </c:pt>
                <c:pt idx="4">
                  <c:v>1044426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205925470"/>
        <c:axId val="239711274"/>
      </c:barChart>
      <c:catAx>
        <c:axId val="20592547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39711274"/>
        <c:crosses val="autoZero"/>
        <c:auto val="1"/>
        <c:lblAlgn val="ctr"/>
        <c:lblOffset val="100"/>
        <c:noMultiLvlLbl val="0"/>
      </c:catAx>
      <c:valAx>
        <c:axId val="2397112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0592547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aba325-2822-44f6-a301-37e83362a517}"/>
      </c:ext>
    </c:extLst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1.xlsx]PIVOT!PivotTable18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ACTIVE CASES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PIVOT!$H$124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PIVOT!$G$125:$G$129</c:f>
              <c:strCache>
                <c:ptCount val="5"/>
                <c:pt idx="0">
                  <c:v>Egypt</c:v>
                </c:pt>
                <c:pt idx="1">
                  <c:v>Ethiopia</c:v>
                </c:pt>
                <c:pt idx="2">
                  <c:v>South Africa</c:v>
                </c:pt>
                <c:pt idx="3">
                  <c:v>Morocco</c:v>
                </c:pt>
                <c:pt idx="4">
                  <c:v>Botswana</c:v>
                </c:pt>
              </c:strCache>
            </c:strRef>
          </c:cat>
          <c:val>
            <c:numRef>
              <c:f>PIVOT!$H$125:$H$129</c:f>
              <c:numCache>
                <c:formatCode>General</c:formatCode>
                <c:ptCount val="5"/>
                <c:pt idx="0">
                  <c:v>48850</c:v>
                </c:pt>
                <c:pt idx="1">
                  <c:v>18638</c:v>
                </c:pt>
                <c:pt idx="2">
                  <c:v>13851</c:v>
                </c:pt>
                <c:pt idx="3">
                  <c:v>10389</c:v>
                </c:pt>
                <c:pt idx="4">
                  <c:v>5415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599150344"/>
        <c:axId val="795840824"/>
      </c:barChart>
      <c:catAx>
        <c:axId val="5991503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795840824"/>
        <c:crosses val="autoZero"/>
        <c:auto val="1"/>
        <c:lblAlgn val="ctr"/>
        <c:lblOffset val="100"/>
        <c:noMultiLvlLbl val="0"/>
      </c:catAx>
      <c:valAx>
        <c:axId val="79584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59915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7c3f23b-0877-45e7-a36e-4e3e17be5d3d}"/>
      </c:ext>
    </c:extLst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ln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ln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RECOVERED </a:t>
            </a:r>
            <a:endParaRPr b="1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PIVOT!$K$124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PIVOT!$J$125:$J$129</c:f>
              <c:strCache>
                <c:ptCount val="5"/>
                <c:pt idx="0">
                  <c:v>South Africa</c:v>
                </c:pt>
                <c:pt idx="1">
                  <c:v>Morocco</c:v>
                </c:pt>
                <c:pt idx="2">
                  <c:v>Tunisia</c:v>
                </c:pt>
                <c:pt idx="3">
                  <c:v>Libya</c:v>
                </c:pt>
                <c:pt idx="4">
                  <c:v>Ethiopia</c:v>
                </c:pt>
              </c:strCache>
            </c:strRef>
          </c:cat>
          <c:val>
            <c:numRef>
              <c:f>PIVOT!$K$125:$K$129</c:f>
              <c:numCache>
                <c:formatCode>General</c:formatCode>
                <c:ptCount val="5"/>
                <c:pt idx="0">
                  <c:v>3871421</c:v>
                </c:pt>
                <c:pt idx="1">
                  <c:v>1160121</c:v>
                </c:pt>
                <c:pt idx="2">
                  <c:v>1015771</c:v>
                </c:pt>
                <c:pt idx="3">
                  <c:v>490973</c:v>
                </c:pt>
                <c:pt idx="4">
                  <c:v>458374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908274490"/>
        <c:axId val="104037846"/>
      </c:barChart>
      <c:catAx>
        <c:axId val="9082744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ln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104037846"/>
        <c:crosses val="autoZero"/>
        <c:auto val="1"/>
        <c:lblAlgn val="ctr"/>
        <c:lblOffset val="100"/>
        <c:noMultiLvlLbl val="0"/>
      </c:catAx>
      <c:valAx>
        <c:axId val="1040378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ln>
                  <a:noFill/>
                </a:ln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9082744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d74e311-5f39-446d-894d-1fdf38ac0523}"/>
      </c:ext>
    </c:extLst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lang="en-US" b="1">
          <a:ln>
            <a:noFill/>
          </a:ln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1.xlsx]PIVOT!PivotTable37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TESTS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789473684211"/>
          <c:y val="0.152777777777778"/>
          <c:w val="0.780052631578947"/>
          <c:h val="0.671388888888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PIVOT!$B$131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PIVOT!$A$132:$A$135</c:f>
              <c:strCache>
                <c:ptCount val="4"/>
                <c:pt idx="0">
                  <c:v>Sierra Leone</c:v>
                </c:pt>
                <c:pt idx="1">
                  <c:v>Niger</c:v>
                </c:pt>
                <c:pt idx="2">
                  <c:v>Chad</c:v>
                </c:pt>
                <c:pt idx="3">
                  <c:v>Guinea-Bissau</c:v>
                </c:pt>
              </c:strCache>
            </c:strRef>
          </c:cat>
          <c:val>
            <c:numRef>
              <c:f>PIVOT!$B$132:$B$135</c:f>
              <c:numCache>
                <c:formatCode>General</c:formatCode>
                <c:ptCount val="4"/>
                <c:pt idx="0">
                  <c:v>259958</c:v>
                </c:pt>
                <c:pt idx="1">
                  <c:v>254538</c:v>
                </c:pt>
                <c:pt idx="2">
                  <c:v>191341</c:v>
                </c:pt>
                <c:pt idx="3">
                  <c:v>141581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04539067"/>
        <c:axId val="974546949"/>
      </c:barChart>
      <c:catAx>
        <c:axId val="2045390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974546949"/>
        <c:crosses val="autoZero"/>
        <c:auto val="1"/>
        <c:lblAlgn val="ctr"/>
        <c:lblOffset val="100"/>
        <c:noMultiLvlLbl val="0"/>
      </c:catAx>
      <c:valAx>
        <c:axId val="97454694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045390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d15c4d-3d44-4d40-b376-d6d1f021453b}"/>
      </c:ext>
    </c:extLst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CASES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PIVOT!$E$131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PIVOT!$D$132:$D$135</c:f>
              <c:strCache>
                <c:ptCount val="4"/>
                <c:pt idx="0">
                  <c:v>Eritrea</c:v>
                </c:pt>
                <c:pt idx="1">
                  <c:v>Niger</c:v>
                </c:pt>
                <c:pt idx="2">
                  <c:v>Guinea-Bissau</c:v>
                </c:pt>
                <c:pt idx="3">
                  <c:v>Comoros</c:v>
                </c:pt>
              </c:strCache>
            </c:strRef>
          </c:cat>
          <c:val>
            <c:numRef>
              <c:f>PIVOT!$E$132:$E$135</c:f>
              <c:numCache>
                <c:formatCode>General</c:formatCode>
                <c:ptCount val="4"/>
                <c:pt idx="0">
                  <c:v>9777</c:v>
                </c:pt>
                <c:pt idx="1">
                  <c:v>9031</c:v>
                </c:pt>
                <c:pt idx="2">
                  <c:v>8307</c:v>
                </c:pt>
                <c:pt idx="3">
                  <c:v>8100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387632281"/>
        <c:axId val="677906071"/>
      </c:barChart>
      <c:catAx>
        <c:axId val="3876322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677906071"/>
        <c:crosses val="autoZero"/>
        <c:auto val="1"/>
        <c:lblAlgn val="ctr"/>
        <c:lblOffset val="100"/>
        <c:noMultiLvlLbl val="0"/>
      </c:catAx>
      <c:valAx>
        <c:axId val="677906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3876322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1394f2-75a0-4f4c-809f-9aa76f86a7f7}"/>
      </c:ext>
    </c:extLst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ACTIVE CASES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PIVOT!$H$131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PIVOT!$G$132:$G$135</c:f>
              <c:strCache>
                <c:ptCount val="4"/>
                <c:pt idx="0">
                  <c:v>Chad</c:v>
                </c:pt>
                <c:pt idx="1">
                  <c:v>Liberia</c:v>
                </c:pt>
                <c:pt idx="2">
                  <c:v>Niger</c:v>
                </c:pt>
                <c:pt idx="3">
                  <c:v>Guinea-Bissau</c:v>
                </c:pt>
              </c:strCache>
            </c:strRef>
          </c:cat>
          <c:val>
            <c:numRef>
              <c:f>PIVOT!$H$132:$H$135</c:f>
              <c:numCache>
                <c:formatCode>General</c:formatCode>
                <c:ptCount val="4"/>
                <c:pt idx="0">
                  <c:v>2357</c:v>
                </c:pt>
                <c:pt idx="1">
                  <c:v>1452</c:v>
                </c:pt>
                <c:pt idx="2">
                  <c:v>93</c:v>
                </c:pt>
                <c:pt idx="3">
                  <c:v>51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53577884"/>
        <c:axId val="991709621"/>
      </c:barChart>
      <c:catAx>
        <c:axId val="2535778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991709621"/>
        <c:crosses val="autoZero"/>
        <c:auto val="1"/>
        <c:lblAlgn val="ctr"/>
        <c:lblOffset val="100"/>
        <c:noMultiLvlLbl val="0"/>
      </c:catAx>
      <c:valAx>
        <c:axId val="9917096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535778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e69b534-9714-4d52-8dfc-d9d979063938}"/>
      </c:ext>
    </c:extLst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RECOVERED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PIVOT!$K$131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PIVOT!$J$132:$J$135</c:f>
              <c:strCache>
                <c:ptCount val="4"/>
                <c:pt idx="0">
                  <c:v>Eritrea</c:v>
                </c:pt>
                <c:pt idx="1">
                  <c:v>Niger</c:v>
                </c:pt>
                <c:pt idx="2">
                  <c:v>Guinea-Bissau</c:v>
                </c:pt>
                <c:pt idx="3">
                  <c:v>Comoros</c:v>
                </c:pt>
              </c:strCache>
            </c:strRef>
          </c:cat>
          <c:val>
            <c:numRef>
              <c:f>PIVOT!$K$132:$K$135</c:f>
              <c:numCache>
                <c:formatCode>General</c:formatCode>
                <c:ptCount val="4"/>
                <c:pt idx="0">
                  <c:v>9667</c:v>
                </c:pt>
                <c:pt idx="1">
                  <c:v>8628</c:v>
                </c:pt>
                <c:pt idx="2">
                  <c:v>8085</c:v>
                </c:pt>
                <c:pt idx="3">
                  <c:v>7933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100"/>
        <c:axId val="935387294"/>
        <c:axId val="441104030"/>
      </c:barChart>
      <c:catAx>
        <c:axId val="93538729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441104030"/>
        <c:crosses val="autoZero"/>
        <c:auto val="1"/>
        <c:lblAlgn val="ctr"/>
        <c:lblOffset val="100"/>
        <c:noMultiLvlLbl val="0"/>
      </c:catAx>
      <c:valAx>
        <c:axId val="4411040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93538729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23b95c-f619-4bdf-99e8-a1bbe044cc44}"/>
      </c:ext>
    </c:extLst>
  </c:chart>
  <c:spPr>
    <a:solidFill>
      <a:schemeClr val="accent6"/>
    </a:solidFill>
    <a:ln w="9525" cap="flat" cmpd="sng" algn="ctr">
      <a:noFill/>
      <a:round/>
    </a:ln>
    <a:effectLst/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ACTIVE CASES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62119013062409"/>
          <c:y val="0.008899436369029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5539935727684"/>
          <c:y val="0.142094334025512"/>
          <c:w val="0.402446979052615"/>
          <c:h val="0.8225629444297"/>
        </c:manualLayout>
      </c:layout>
      <c:pieChart>
        <c:varyColors val="1"/>
        <c:ser>
          <c:idx val="0"/>
          <c:order val="0"/>
          <c:tx>
            <c:strRef>
              <c:f>PIVOT!$E$137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1" i="0" u="none" strike="noStrike" kern="1200" baseline="0"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r>
                      <a:rPr b="1">
                        <a:solidFill>
                          <a:schemeClr val="tx1"/>
                        </a:solidFill>
                        <a:effectLst>
                          <a:outerShdw blurRad="38100" dist="19050" dir="2700000" algn="tl" rotWithShape="0">
                            <a:schemeClr val="dk1">
                              <a:alpha val="40000"/>
                            </a:schemeClr>
                          </a:outerShdw>
                        </a:effectLst>
                      </a:rPr>
                      <a:t>48850</a:t>
                    </a:r>
                    <a:endParaRPr b="1">
                      <a:solidFill>
                        <a:schemeClr val="tx1"/>
                      </a:solidFill>
                      <a:effectLst>
                        <a:outerShdw blurRad="38100" dist="19050" dir="2700000" algn="tl" rotWithShape="0">
                          <a:schemeClr val="dk1">
                            <a:alpha val="40000"/>
                          </a:schemeClr>
                        </a:outerShdw>
                      </a:effectLst>
                    </a:endParaRP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PIVOT!$D$138</c:f>
              <c:strCache>
                <c:ptCount val="1"/>
                <c:pt idx="0">
                  <c:v>Saint Helena</c:v>
                </c:pt>
              </c:strCache>
            </c:strRef>
          </c:cat>
          <c:val>
            <c:numRef>
              <c:f>PIVOT!$E$138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6cffde-232f-4a51-9ae1-f28c81bca194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RECOVERED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334276315789474"/>
          <c:y val="0.02824074074074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64421052631579"/>
          <c:y val="0.177083333333333"/>
          <c:w val="0.604065789473684"/>
          <c:h val="0.710972222222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PIVOT!$H$137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PIVOT!$G$138</c:f>
              <c:strCache>
                <c:ptCount val="1"/>
                <c:pt idx="0">
                  <c:v>Saint Helena</c:v>
                </c:pt>
              </c:strCache>
            </c:strRef>
          </c:cat>
          <c:val>
            <c:numRef>
              <c:f>PIVOT!$H$138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84896725"/>
        <c:axId val="762227795"/>
      </c:barChart>
      <c:catAx>
        <c:axId val="18489672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762227795"/>
        <c:crosses val="autoZero"/>
        <c:auto val="1"/>
        <c:lblAlgn val="ctr"/>
        <c:lblOffset val="100"/>
        <c:noMultiLvlLbl val="0"/>
      </c:catAx>
      <c:valAx>
        <c:axId val="7622277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1848967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f6744c-47d3-4680-882e-247a56529312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SERIOUS CRITICAL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319407894736842"/>
          <c:y val="0.02129629629629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35473684210526"/>
          <c:y val="0.177083333333333"/>
          <c:w val="0.640907894736842"/>
          <c:h val="0.710972222222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PIVOT!$K$137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PIVOT!$J$138</c:f>
              <c:strCache>
                <c:ptCount val="1"/>
                <c:pt idx="0">
                  <c:v>Saint Helena</c:v>
                </c:pt>
              </c:strCache>
            </c:strRef>
          </c:cat>
          <c:val>
            <c:numRef>
              <c:f>PIVOT!$K$138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06570592"/>
        <c:axId val="221178808"/>
      </c:barChart>
      <c:catAx>
        <c:axId val="90657059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221178808"/>
        <c:crosses val="autoZero"/>
        <c:auto val="1"/>
        <c:lblAlgn val="ctr"/>
        <c:lblOffset val="100"/>
        <c:noMultiLvlLbl val="0"/>
      </c:catAx>
      <c:valAx>
        <c:axId val="221178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90657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40bec0-e4a4-4053-b98f-de14494acda9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POPULATION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PIVOT!$N$137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PIVOT!$M$138</c:f>
              <c:strCache>
                <c:ptCount val="1"/>
                <c:pt idx="0">
                  <c:v>Saint Helena</c:v>
                </c:pt>
              </c:strCache>
            </c:strRef>
          </c:cat>
          <c:val>
            <c:numRef>
              <c:f>PIVOT!$N$138</c:f>
              <c:numCache>
                <c:formatCode>General</c:formatCode>
                <c:ptCount val="1"/>
                <c:pt idx="0">
                  <c:v>6112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48834855"/>
        <c:axId val="328213190"/>
      </c:barChart>
      <c:catAx>
        <c:axId val="9488348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328213190"/>
        <c:crosses val="autoZero"/>
        <c:auto val="1"/>
        <c:lblAlgn val="ctr"/>
        <c:lblOffset val="100"/>
        <c:noMultiLvlLbl val="0"/>
      </c:catAx>
      <c:valAx>
        <c:axId val="3282131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948834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254368-17ee-4814-9c80-18c58ce36b95}"/>
      </c:ext>
    </c:extLst>
  </c:chart>
  <c:spPr>
    <a:solidFill>
      <a:schemeClr val="bg1">
        <a:lumMod val="85000"/>
      </a:schemeClr>
    </a:solidFill>
    <a:ln w="9525" cap="flat" cmpd="sng" algn="ctr">
      <a:noFill/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 TOTAL CASES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>
        <c:manualLayout>
          <c:xMode val="edge"/>
          <c:yMode val="edge"/>
          <c:x val="0.266299623297595"/>
          <c:y val="0.00877192982456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0789473684211"/>
          <c:y val="0.178240740740741"/>
          <c:w val="0.463157894736842"/>
          <c:h val="0.814814814814815"/>
        </c:manualLayout>
      </c:layout>
      <c:pieChart>
        <c:varyColors val="1"/>
        <c:ser>
          <c:idx val="0"/>
          <c:order val="0"/>
          <c:tx>
            <c:strRef>
              <c:f>PIVOT!$B$137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PIVOT!$A$138</c:f>
              <c:strCache>
                <c:ptCount val="1"/>
                <c:pt idx="0">
                  <c:v>Saint Helena</c:v>
                </c:pt>
              </c:strCache>
            </c:strRef>
          </c:cat>
          <c:val>
            <c:numRef>
              <c:f>PIVOT!$B$138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a5a109b-b4b8-4c36-8b66-86da778b237b}"/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TOTAL TESTS 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4539473684211"/>
          <c:y val="0.115277777777778"/>
          <c:w val="0.473947368421053"/>
          <c:h val="0.833796296296296"/>
        </c:manualLayout>
      </c:layout>
      <c:doughnutChart>
        <c:varyColors val="1"/>
        <c:ser>
          <c:idx val="0"/>
          <c:order val="0"/>
          <c:tx>
            <c:strRef>
              <c:f>PIVOT!$Q$137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PIVOT!$P$138</c:f>
              <c:strCache>
                <c:ptCount val="1"/>
                <c:pt idx="0">
                  <c:v>Saint Helena</c:v>
                </c:pt>
              </c:strCache>
            </c:strRef>
          </c:cat>
          <c:val>
            <c:numRef>
              <c:f>PIVOT!$Q$138</c:f>
              <c:numCache>
                <c:formatCode>General</c:formatCode>
                <c:ptCount val="1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969e0b-4074-4d7c-a1c8-3bac770d46af}"/>
      </c:ext>
    </c:extLst>
  </c:chart>
  <c:spPr>
    <a:solidFill>
      <a:schemeClr val="bg1">
        <a:lumMod val="85000"/>
      </a:schemeClr>
    </a:solidFill>
    <a:ln w="9525" cap="flat" cmpd="sng" algn="ctr">
      <a:noFill/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[ogunleye oluwapelumi festus 1.xlsx]PIVOT!PivotTable49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b="1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COUNTRY BY DEATHS/ 1M POP</a:t>
            </a:r>
            <a:endParaRPr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PIVOT!$T$137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effectLst>
                      <a:outerShdw blurRad="38100" dist="19050" dir="2700000" algn="tl" rotWithShape="0">
                        <a:schemeClr val="dk1">
                          <a:alpha val="4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PIVOT!$S$138</c:f>
              <c:strCache>
                <c:ptCount val="1"/>
                <c:pt idx="0">
                  <c:v>Saint Helena</c:v>
                </c:pt>
              </c:strCache>
            </c:strRef>
          </c:cat>
          <c:val>
            <c:numRef>
              <c:f>PIVOT!$T$138</c:f>
              <c:numCache>
                <c:formatCode>General</c:formatCode>
                <c:ptCount val="1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9136519"/>
        <c:axId val="709541813"/>
      </c:lineChart>
      <c:catAx>
        <c:axId val="309136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709541813"/>
        <c:crosses val="autoZero"/>
        <c:auto val="1"/>
        <c:lblAlgn val="ctr"/>
        <c:lblOffset val="100"/>
        <c:noMultiLvlLbl val="0"/>
      </c:catAx>
      <c:valAx>
        <c:axId val="7095418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  <c:crossAx val="309136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d373e8-1537-4a84-a548-ef2ae3b2eccc}"/>
      </c:ext>
    </c:extLst>
  </c:chart>
  <c:spPr>
    <a:solidFill>
      <a:schemeClr val="bg1">
        <a:lumMod val="85000"/>
      </a:schemeClr>
    </a:solidFill>
    <a:ln w="9525" cap="flat" cmpd="sng" algn="ctr">
      <a:noFill/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 lang="en-US" b="1"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100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>
      <cs:styleClr val="auto"/>
    </cs:effectRef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1009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1001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101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9.xml"/><Relationship Id="rId8" Type="http://schemas.openxmlformats.org/officeDocument/2006/relationships/chart" Target="../charts/chart18.xml"/><Relationship Id="rId7" Type="http://schemas.openxmlformats.org/officeDocument/2006/relationships/chart" Target="../charts/chart17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0" Type="http://schemas.openxmlformats.org/officeDocument/2006/relationships/chart" Target="../charts/chart20.xml"/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chart" Target="../charts/chart24.xml"/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7" Type="http://schemas.openxmlformats.org/officeDocument/2006/relationships/chart" Target="../charts/chart31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7" Type="http://schemas.openxmlformats.org/officeDocument/2006/relationships/chart" Target="../charts/chart39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97155</xdr:colOff>
      <xdr:row>9</xdr:row>
      <xdr:rowOff>89535</xdr:rowOff>
    </xdr:from>
    <xdr:to>
      <xdr:col>45</xdr:col>
      <xdr:colOff>106045</xdr:colOff>
      <xdr:row>44</xdr:row>
      <xdr:rowOff>94615</xdr:rowOff>
    </xdr:to>
    <xdr:sp>
      <xdr:nvSpPr>
        <xdr:cNvPr id="2" name="Rectangles 1"/>
        <xdr:cNvSpPr/>
      </xdr:nvSpPr>
      <xdr:spPr>
        <a:xfrm>
          <a:off x="97155" y="1746885"/>
          <a:ext cx="27440890" cy="645033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lvl="3" algn="l"/>
          <a:r>
            <a:rPr lang="en-US" sz="1100"/>
            <a:t>                                         			</a:t>
          </a:r>
          <a:r>
            <a:rPr lang="en-US" sz="3000" b="1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		          AFRICA COVID-19 DASHBOARD </a:t>
          </a:r>
          <a:endParaRPr lang="en-US" sz="3000" b="1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twoCellAnchor>
  <xdr:oneCellAnchor>
    <xdr:from>
      <xdr:col>0</xdr:col>
      <xdr:colOff>209550</xdr:colOff>
      <xdr:row>13</xdr:row>
      <xdr:rowOff>101600</xdr:rowOff>
    </xdr:from>
    <xdr:ext cx="3751580" cy="922020"/>
    <xdr:sp>
      <xdr:nvSpPr>
        <xdr:cNvPr id="3" name="Text Box 2"/>
        <xdr:cNvSpPr txBox="1"/>
      </xdr:nvSpPr>
      <xdr:spPr>
        <a:xfrm>
          <a:off x="209550" y="2495550"/>
          <a:ext cx="3751580" cy="9220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TOP 10 COUNTRIES WITH THE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HIGHEST CASES  IN AFRICA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448945</xdr:colOff>
      <xdr:row>19</xdr:row>
      <xdr:rowOff>18415</xdr:rowOff>
    </xdr:from>
    <xdr:to>
      <xdr:col>12</xdr:col>
      <xdr:colOff>37465</xdr:colOff>
      <xdr:row>30</xdr:row>
      <xdr:rowOff>171450</xdr:rowOff>
    </xdr:to>
    <xdr:sp>
      <xdr:nvSpPr>
        <xdr:cNvPr id="9" name="Rectangles 8"/>
        <xdr:cNvSpPr/>
      </xdr:nvSpPr>
      <xdr:spPr>
        <a:xfrm>
          <a:off x="2277745" y="3517265"/>
          <a:ext cx="5074920" cy="21786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3</xdr:col>
      <xdr:colOff>482600</xdr:colOff>
      <xdr:row>19</xdr:row>
      <xdr:rowOff>50800</xdr:rowOff>
    </xdr:from>
    <xdr:to>
      <xdr:col>12</xdr:col>
      <xdr:colOff>0</xdr:colOff>
      <xdr:row>30</xdr:row>
      <xdr:rowOff>146050</xdr:rowOff>
    </xdr:to>
    <xdr:graphicFrame>
      <xdr:nvGraphicFramePr>
        <xdr:cNvPr id="10" name="Chart 9"/>
        <xdr:cNvGraphicFramePr/>
      </xdr:nvGraphicFramePr>
      <xdr:xfrm>
        <a:off x="2311400" y="3549650"/>
        <a:ext cx="5003800" cy="2120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210185</xdr:colOff>
      <xdr:row>19</xdr:row>
      <xdr:rowOff>26035</xdr:rowOff>
    </xdr:from>
    <xdr:to>
      <xdr:col>3</xdr:col>
      <xdr:colOff>374015</xdr:colOff>
      <xdr:row>43</xdr:row>
      <xdr:rowOff>12700</xdr:rowOff>
    </xdr:to>
    <xdr:sp>
      <xdr:nvSpPr>
        <xdr:cNvPr id="11" name="Frame 10"/>
        <xdr:cNvSpPr/>
      </xdr:nvSpPr>
      <xdr:spPr>
        <a:xfrm>
          <a:off x="210185" y="3524885"/>
          <a:ext cx="1992630" cy="4406265"/>
        </a:xfrm>
        <a:prstGeom prst="fram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TOTAL POPULATION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</a:t>
          </a:r>
          <a:r>
            <a:rPr lang="en-US" sz="2000" b="1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487,515,881</a:t>
          </a:r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TOTAL TEST</a:t>
          </a:r>
          <a:endParaRPr lang="en-US" sz="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65,168,182 </a:t>
          </a:r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TOTAL CASES</a:t>
          </a:r>
          <a:endParaRPr lang="en-US" sz="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1"/>
            <a:t> </a:t>
          </a:r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9,172,220 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TOTAL RECOVERED</a:t>
          </a:r>
          <a:endParaRPr lang="en-US" sz="9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8,853,074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TOTAL DEATH</a:t>
          </a:r>
          <a:endParaRPr lang="en-US" sz="11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199,515 </a:t>
          </a:r>
          <a:endParaRPr lang="en-US" sz="1100"/>
        </a:p>
        <a:p>
          <a:pPr algn="l"/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3</xdr:col>
      <xdr:colOff>436880</xdr:colOff>
      <xdr:row>31</xdr:row>
      <xdr:rowOff>38100</xdr:rowOff>
    </xdr:from>
    <xdr:to>
      <xdr:col>12</xdr:col>
      <xdr:colOff>43180</xdr:colOff>
      <xdr:row>42</xdr:row>
      <xdr:rowOff>158750</xdr:rowOff>
    </xdr:to>
    <xdr:sp>
      <xdr:nvSpPr>
        <xdr:cNvPr id="12" name="Rectangles 11"/>
        <xdr:cNvSpPr/>
      </xdr:nvSpPr>
      <xdr:spPr>
        <a:xfrm>
          <a:off x="2265680" y="5746750"/>
          <a:ext cx="5092700" cy="21463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92710</xdr:colOff>
      <xdr:row>31</xdr:row>
      <xdr:rowOff>19050</xdr:rowOff>
    </xdr:from>
    <xdr:to>
      <xdr:col>20</xdr:col>
      <xdr:colOff>240030</xdr:colOff>
      <xdr:row>42</xdr:row>
      <xdr:rowOff>165100</xdr:rowOff>
    </xdr:to>
    <xdr:sp>
      <xdr:nvSpPr>
        <xdr:cNvPr id="13" name="Rectangles 12"/>
        <xdr:cNvSpPr/>
      </xdr:nvSpPr>
      <xdr:spPr>
        <a:xfrm>
          <a:off x="7407910" y="5727700"/>
          <a:ext cx="5024120" cy="2171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296545</xdr:colOff>
      <xdr:row>31</xdr:row>
      <xdr:rowOff>32385</xdr:rowOff>
    </xdr:from>
    <xdr:to>
      <xdr:col>28</xdr:col>
      <xdr:colOff>474980</xdr:colOff>
      <xdr:row>42</xdr:row>
      <xdr:rowOff>171450</xdr:rowOff>
    </xdr:to>
    <xdr:sp>
      <xdr:nvSpPr>
        <xdr:cNvPr id="14" name="Rectangles 13"/>
        <xdr:cNvSpPr/>
      </xdr:nvSpPr>
      <xdr:spPr>
        <a:xfrm>
          <a:off x="12488545" y="5741035"/>
          <a:ext cx="5055235" cy="21647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90805</xdr:colOff>
      <xdr:row>19</xdr:row>
      <xdr:rowOff>25400</xdr:rowOff>
    </xdr:from>
    <xdr:to>
      <xdr:col>20</xdr:col>
      <xdr:colOff>238125</xdr:colOff>
      <xdr:row>30</xdr:row>
      <xdr:rowOff>165100</xdr:rowOff>
    </xdr:to>
    <xdr:sp>
      <xdr:nvSpPr>
        <xdr:cNvPr id="15" name="Rectangles 14"/>
        <xdr:cNvSpPr/>
      </xdr:nvSpPr>
      <xdr:spPr>
        <a:xfrm>
          <a:off x="7406005" y="3524250"/>
          <a:ext cx="5024120" cy="21653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296545</xdr:colOff>
      <xdr:row>19</xdr:row>
      <xdr:rowOff>31115</xdr:rowOff>
    </xdr:from>
    <xdr:to>
      <xdr:col>28</xdr:col>
      <xdr:colOff>469265</xdr:colOff>
      <xdr:row>31</xdr:row>
      <xdr:rowOff>0</xdr:rowOff>
    </xdr:to>
    <xdr:sp>
      <xdr:nvSpPr>
        <xdr:cNvPr id="16" name="Rectangles 15"/>
        <xdr:cNvSpPr/>
      </xdr:nvSpPr>
      <xdr:spPr>
        <a:xfrm>
          <a:off x="12488545" y="3529965"/>
          <a:ext cx="5049520" cy="21786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480060</xdr:colOff>
      <xdr:row>31</xdr:row>
      <xdr:rowOff>75565</xdr:rowOff>
    </xdr:from>
    <xdr:to>
      <xdr:col>12</xdr:col>
      <xdr:colOff>4445</xdr:colOff>
      <xdr:row>42</xdr:row>
      <xdr:rowOff>121920</xdr:rowOff>
    </xdr:to>
    <xdr:graphicFrame>
      <xdr:nvGraphicFramePr>
        <xdr:cNvPr id="4" name="Chart 3"/>
        <xdr:cNvGraphicFramePr/>
      </xdr:nvGraphicFramePr>
      <xdr:xfrm>
        <a:off x="2308860" y="5784215"/>
        <a:ext cx="5010785" cy="2072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128905</xdr:colOff>
      <xdr:row>19</xdr:row>
      <xdr:rowOff>63500</xdr:rowOff>
    </xdr:from>
    <xdr:to>
      <xdr:col>20</xdr:col>
      <xdr:colOff>198120</xdr:colOff>
      <xdr:row>30</xdr:row>
      <xdr:rowOff>138430</xdr:rowOff>
    </xdr:to>
    <xdr:graphicFrame>
      <xdr:nvGraphicFramePr>
        <xdr:cNvPr id="6" name="Chart 5"/>
        <xdr:cNvGraphicFramePr/>
      </xdr:nvGraphicFramePr>
      <xdr:xfrm>
        <a:off x="7444105" y="3562350"/>
        <a:ext cx="4946015" cy="2100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142875</xdr:colOff>
      <xdr:row>31</xdr:row>
      <xdr:rowOff>57150</xdr:rowOff>
    </xdr:from>
    <xdr:to>
      <xdr:col>20</xdr:col>
      <xdr:colOff>207010</xdr:colOff>
      <xdr:row>42</xdr:row>
      <xdr:rowOff>127635</xdr:rowOff>
    </xdr:to>
    <xdr:graphicFrame>
      <xdr:nvGraphicFramePr>
        <xdr:cNvPr id="7" name="Chart 6"/>
        <xdr:cNvGraphicFramePr/>
      </xdr:nvGraphicFramePr>
      <xdr:xfrm>
        <a:off x="7458075" y="5765800"/>
        <a:ext cx="4940935" cy="20961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334645</xdr:colOff>
      <xdr:row>19</xdr:row>
      <xdr:rowOff>55880</xdr:rowOff>
    </xdr:from>
    <xdr:to>
      <xdr:col>28</xdr:col>
      <xdr:colOff>424815</xdr:colOff>
      <xdr:row>30</xdr:row>
      <xdr:rowOff>146685</xdr:rowOff>
    </xdr:to>
    <xdr:graphicFrame>
      <xdr:nvGraphicFramePr>
        <xdr:cNvPr id="5" name="Chart 4"/>
        <xdr:cNvGraphicFramePr/>
      </xdr:nvGraphicFramePr>
      <xdr:xfrm>
        <a:off x="12526645" y="3554730"/>
        <a:ext cx="4966970" cy="2116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512445</xdr:colOff>
      <xdr:row>31</xdr:row>
      <xdr:rowOff>38735</xdr:rowOff>
    </xdr:from>
    <xdr:to>
      <xdr:col>37</xdr:col>
      <xdr:colOff>81280</xdr:colOff>
      <xdr:row>42</xdr:row>
      <xdr:rowOff>164465</xdr:rowOff>
    </xdr:to>
    <xdr:sp>
      <xdr:nvSpPr>
        <xdr:cNvPr id="8" name="Rectangles 7"/>
        <xdr:cNvSpPr/>
      </xdr:nvSpPr>
      <xdr:spPr>
        <a:xfrm>
          <a:off x="17581245" y="5747385"/>
          <a:ext cx="5055235" cy="215138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340360</xdr:colOff>
      <xdr:row>31</xdr:row>
      <xdr:rowOff>68580</xdr:rowOff>
    </xdr:from>
    <xdr:to>
      <xdr:col>28</xdr:col>
      <xdr:colOff>436880</xdr:colOff>
      <xdr:row>42</xdr:row>
      <xdr:rowOff>132715</xdr:rowOff>
    </xdr:to>
    <xdr:graphicFrame>
      <xdr:nvGraphicFramePr>
        <xdr:cNvPr id="17" name="Chart 16"/>
        <xdr:cNvGraphicFramePr/>
      </xdr:nvGraphicFramePr>
      <xdr:xfrm>
        <a:off x="12532360" y="5777230"/>
        <a:ext cx="4973320" cy="2089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518795</xdr:colOff>
      <xdr:row>19</xdr:row>
      <xdr:rowOff>25400</xdr:rowOff>
    </xdr:from>
    <xdr:to>
      <xdr:col>37</xdr:col>
      <xdr:colOff>87630</xdr:colOff>
      <xdr:row>31</xdr:row>
      <xdr:rowOff>6985</xdr:rowOff>
    </xdr:to>
    <xdr:sp>
      <xdr:nvSpPr>
        <xdr:cNvPr id="18" name="Rectangles 17"/>
        <xdr:cNvSpPr/>
      </xdr:nvSpPr>
      <xdr:spPr>
        <a:xfrm>
          <a:off x="17587595" y="3524250"/>
          <a:ext cx="5055235" cy="21913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28</xdr:col>
      <xdr:colOff>568325</xdr:colOff>
      <xdr:row>19</xdr:row>
      <xdr:rowOff>69215</xdr:rowOff>
    </xdr:from>
    <xdr:to>
      <xdr:col>37</xdr:col>
      <xdr:colOff>48260</xdr:colOff>
      <xdr:row>30</xdr:row>
      <xdr:rowOff>140335</xdr:rowOff>
    </xdr:to>
    <xdr:graphicFrame>
      <xdr:nvGraphicFramePr>
        <xdr:cNvPr id="19" name="Chart 18"/>
        <xdr:cNvGraphicFramePr/>
      </xdr:nvGraphicFramePr>
      <xdr:xfrm>
        <a:off x="17637125" y="3568065"/>
        <a:ext cx="4966335" cy="2096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562610</xdr:colOff>
      <xdr:row>31</xdr:row>
      <xdr:rowOff>76835</xdr:rowOff>
    </xdr:from>
    <xdr:to>
      <xdr:col>37</xdr:col>
      <xdr:colOff>41910</xdr:colOff>
      <xdr:row>42</xdr:row>
      <xdr:rowOff>134620</xdr:rowOff>
    </xdr:to>
    <xdr:graphicFrame>
      <xdr:nvGraphicFramePr>
        <xdr:cNvPr id="20" name="Chart 19"/>
        <xdr:cNvGraphicFramePr/>
      </xdr:nvGraphicFramePr>
      <xdr:xfrm>
        <a:off x="17631410" y="5785485"/>
        <a:ext cx="4965700" cy="2083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140970</xdr:colOff>
      <xdr:row>31</xdr:row>
      <xdr:rowOff>46990</xdr:rowOff>
    </xdr:from>
    <xdr:to>
      <xdr:col>44</xdr:col>
      <xdr:colOff>584200</xdr:colOff>
      <xdr:row>42</xdr:row>
      <xdr:rowOff>160655</xdr:rowOff>
    </xdr:to>
    <xdr:sp>
      <xdr:nvSpPr>
        <xdr:cNvPr id="21" name="Rectangles 20"/>
        <xdr:cNvSpPr/>
      </xdr:nvSpPr>
      <xdr:spPr>
        <a:xfrm>
          <a:off x="22696170" y="5755640"/>
          <a:ext cx="4710430" cy="21393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/>
            <a:t>V</a:t>
          </a:r>
          <a:endParaRPr lang="en-US" sz="1100"/>
        </a:p>
      </xdr:txBody>
    </xdr:sp>
    <xdr:clientData/>
  </xdr:twoCellAnchor>
  <xdr:twoCellAnchor>
    <xdr:from>
      <xdr:col>37</xdr:col>
      <xdr:colOff>147320</xdr:colOff>
      <xdr:row>19</xdr:row>
      <xdr:rowOff>33020</xdr:rowOff>
    </xdr:from>
    <xdr:to>
      <xdr:col>44</xdr:col>
      <xdr:colOff>590550</xdr:colOff>
      <xdr:row>31</xdr:row>
      <xdr:rowOff>18415</xdr:rowOff>
    </xdr:to>
    <xdr:sp>
      <xdr:nvSpPr>
        <xdr:cNvPr id="22" name="Rectangles 21"/>
        <xdr:cNvSpPr/>
      </xdr:nvSpPr>
      <xdr:spPr>
        <a:xfrm>
          <a:off x="22702520" y="3531870"/>
          <a:ext cx="4710430" cy="21951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37</xdr:col>
      <xdr:colOff>191770</xdr:colOff>
      <xdr:row>19</xdr:row>
      <xdr:rowOff>70485</xdr:rowOff>
    </xdr:from>
    <xdr:to>
      <xdr:col>44</xdr:col>
      <xdr:colOff>541020</xdr:colOff>
      <xdr:row>30</xdr:row>
      <xdr:rowOff>167005</xdr:rowOff>
    </xdr:to>
    <xdr:graphicFrame>
      <xdr:nvGraphicFramePr>
        <xdr:cNvPr id="23" name="Chart 22"/>
        <xdr:cNvGraphicFramePr/>
      </xdr:nvGraphicFramePr>
      <xdr:xfrm>
        <a:off x="22746970" y="3569335"/>
        <a:ext cx="4616450" cy="21221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37</xdr:col>
      <xdr:colOff>179070</xdr:colOff>
      <xdr:row>31</xdr:row>
      <xdr:rowOff>90805</xdr:rowOff>
    </xdr:from>
    <xdr:to>
      <xdr:col>44</xdr:col>
      <xdr:colOff>536575</xdr:colOff>
      <xdr:row>42</xdr:row>
      <xdr:rowOff>127000</xdr:rowOff>
    </xdr:to>
    <xdr:graphicFrame>
      <xdr:nvGraphicFramePr>
        <xdr:cNvPr id="24" name="Chart 23"/>
        <xdr:cNvGraphicFramePr/>
      </xdr:nvGraphicFramePr>
      <xdr:xfrm>
        <a:off x="22734270" y="5799455"/>
        <a:ext cx="4624705" cy="2061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476250</xdr:colOff>
      <xdr:row>13</xdr:row>
      <xdr:rowOff>127635</xdr:rowOff>
    </xdr:from>
    <xdr:to>
      <xdr:col>17</xdr:col>
      <xdr:colOff>247650</xdr:colOff>
      <xdr:row>18</xdr:row>
      <xdr:rowOff>113030</xdr:rowOff>
    </xdr:to>
    <xdr:sp>
      <xdr:nvSpPr>
        <xdr:cNvPr id="27" name="Rounded Rectangle 26"/>
        <xdr:cNvSpPr/>
      </xdr:nvSpPr>
      <xdr:spPr>
        <a:xfrm>
          <a:off x="3524250" y="2521585"/>
          <a:ext cx="7086600" cy="90614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5</xdr:col>
      <xdr:colOff>597535</xdr:colOff>
      <xdr:row>13</xdr:row>
      <xdr:rowOff>171450</xdr:rowOff>
    </xdr:from>
    <xdr:ext cx="1587500" cy="827405"/>
    <xdr:sp>
      <xdr:nvSpPr>
        <xdr:cNvPr id="28" name="Text Box 27"/>
        <xdr:cNvSpPr txBox="1"/>
      </xdr:nvSpPr>
      <xdr:spPr>
        <a:xfrm>
          <a:off x="3645535" y="2565400"/>
          <a:ext cx="1587500" cy="827405"/>
        </a:xfrm>
        <a:prstGeom prst="rect">
          <a:avLst/>
        </a:prstGeom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 anchorCtr="0"/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POPULATION</a:t>
          </a:r>
          <a:endParaRPr lang="en-US" sz="7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400" b="1"/>
        </a:p>
        <a:p>
          <a:pPr algn="l"/>
          <a:r>
            <a:rPr lang="en-US" sz="1700" b="1">
              <a:solidFill>
                <a:srgbClr val="FF0000"/>
              </a:solidFill>
            </a:rPr>
            <a:t>423,184,172</a:t>
          </a:r>
          <a:endParaRPr lang="en-US" sz="1100"/>
        </a:p>
        <a:p>
          <a:pPr algn="l"/>
          <a:endParaRPr lang="en-US" sz="1100"/>
        </a:p>
      </xdr:txBody>
    </xdr:sp>
    <xdr:clientData/>
  </xdr:oneCellAnchor>
  <xdr:oneCellAnchor>
    <xdr:from>
      <xdr:col>8</xdr:col>
      <xdr:colOff>463550</xdr:colOff>
      <xdr:row>14</xdr:row>
      <xdr:rowOff>0</xdr:rowOff>
    </xdr:from>
    <xdr:ext cx="1236345" cy="815975"/>
    <xdr:sp>
      <xdr:nvSpPr>
        <xdr:cNvPr id="29" name="Text Box 28"/>
        <xdr:cNvSpPr txBox="1"/>
      </xdr:nvSpPr>
      <xdr:spPr>
        <a:xfrm>
          <a:off x="5340350" y="2578100"/>
          <a:ext cx="1236345" cy="815975"/>
        </a:xfrm>
        <a:prstGeom prst="rect">
          <a:avLst/>
        </a:prstGeom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900" b="1"/>
            <a:t>             </a:t>
          </a:r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TEST</a:t>
          </a:r>
          <a:endParaRPr lang="en-US" sz="900" b="1"/>
        </a:p>
        <a:p>
          <a:pPr algn="l"/>
          <a:endParaRPr lang="en-US" sz="1100"/>
        </a:p>
        <a:p>
          <a:pPr algn="l"/>
          <a:r>
            <a:rPr lang="en-US" sz="1700" b="1">
              <a:solidFill>
                <a:srgbClr val="FF0000"/>
              </a:solidFill>
            </a:rPr>
            <a:t>64,128,211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158750</xdr:colOff>
      <xdr:row>14</xdr:row>
      <xdr:rowOff>19050</xdr:rowOff>
    </xdr:from>
    <xdr:ext cx="1129665" cy="787400"/>
    <xdr:sp>
      <xdr:nvSpPr>
        <xdr:cNvPr id="30" name="Text Box 29"/>
        <xdr:cNvSpPr txBox="1"/>
      </xdr:nvSpPr>
      <xdr:spPr>
        <a:xfrm>
          <a:off x="9302750" y="2597150"/>
          <a:ext cx="1129665" cy="787400"/>
        </a:xfrm>
        <a:prstGeom prst="rect">
          <a:avLst/>
        </a:prstGeom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700" b="1"/>
            <a:t>          </a:t>
          </a:r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DEATHS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  198,085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559435</xdr:colOff>
      <xdr:row>14</xdr:row>
      <xdr:rowOff>6350</xdr:rowOff>
    </xdr:from>
    <xdr:ext cx="1200150" cy="811530"/>
    <xdr:sp>
      <xdr:nvSpPr>
        <xdr:cNvPr id="31" name="Text Box 30"/>
        <xdr:cNvSpPr txBox="1"/>
      </xdr:nvSpPr>
      <xdr:spPr>
        <a:xfrm>
          <a:off x="6655435" y="2584450"/>
          <a:ext cx="1200150" cy="811530"/>
        </a:xfrm>
        <a:prstGeom prst="rect">
          <a:avLst/>
        </a:prstGeom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11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</a:t>
          </a:r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CASES</a:t>
          </a:r>
          <a:endParaRPr lang="en-US" sz="11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9,108,365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25400</xdr:colOff>
      <xdr:row>14</xdr:row>
      <xdr:rowOff>6985</xdr:rowOff>
    </xdr:from>
    <xdr:ext cx="1273175" cy="802005"/>
    <xdr:sp>
      <xdr:nvSpPr>
        <xdr:cNvPr id="32" name="Text Box 31"/>
        <xdr:cNvSpPr txBox="1"/>
      </xdr:nvSpPr>
      <xdr:spPr>
        <a:xfrm>
          <a:off x="7950200" y="2585085"/>
          <a:ext cx="1273175" cy="802005"/>
        </a:xfrm>
        <a:prstGeom prst="rect">
          <a:avLst/>
        </a:prstGeom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RECOVERED </a:t>
          </a:r>
          <a:endParaRPr lang="en-US" sz="900" b="1"/>
        </a:p>
        <a:p>
          <a:pPr algn="l"/>
          <a:endParaRPr lang="en-US" sz="1700" b="1"/>
        </a:p>
        <a:p>
          <a:pPr algn="l"/>
          <a:r>
            <a:rPr lang="en-US" sz="1700" b="1">
              <a:solidFill>
                <a:srgbClr val="FF0000"/>
              </a:solidFill>
            </a:rPr>
            <a:t>8,802,192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133350</xdr:colOff>
      <xdr:row>13</xdr:row>
      <xdr:rowOff>12700</xdr:rowOff>
    </xdr:from>
    <xdr:ext cx="6743065" cy="1022350"/>
    <xdr:sp>
      <xdr:nvSpPr>
        <xdr:cNvPr id="25" name="Text Box 24"/>
        <xdr:cNvSpPr txBox="1"/>
      </xdr:nvSpPr>
      <xdr:spPr>
        <a:xfrm>
          <a:off x="11106150" y="2406650"/>
          <a:ext cx="6743065" cy="1022350"/>
        </a:xfrm>
        <a:prstGeom prst="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cene3d>
            <a:camera prst="orthographicFront"/>
            <a:lightRig rig="threePt" dir="t"/>
          </a:scene3d>
        </a:bodyPr>
        <a:p>
          <a:pPr algn="l"/>
          <a:r>
            <a:rPr lang="en-US" sz="1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                                                   KEY INSIGHT </a:t>
          </a:r>
          <a:endParaRPr lang="en-US" sz="14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South Africa continues to lead by a huge margin in total COVID-19 cases across Africa,</a:t>
          </a:r>
          <a:endParaRPr lang="en-US" sz="14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several other countries in the high-case group (especially Tunisia, Libya, Zambia,</a:t>
          </a:r>
          <a:endParaRPr lang="en-US" sz="14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4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and Botswana) are showing fast-rising trends in recent days.</a:t>
          </a:r>
          <a:endParaRPr lang="en-US" sz="14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oneCellAnchor>
  <xdr:oneCellAnchor>
    <xdr:from>
      <xdr:col>29</xdr:col>
      <xdr:colOff>565150</xdr:colOff>
      <xdr:row>13</xdr:row>
      <xdr:rowOff>6350</xdr:rowOff>
    </xdr:from>
    <xdr:ext cx="9076055" cy="1004570"/>
    <xdr:sp>
      <xdr:nvSpPr>
        <xdr:cNvPr id="26" name="Text Box 25"/>
        <xdr:cNvSpPr txBox="1"/>
      </xdr:nvSpPr>
      <xdr:spPr>
        <a:xfrm>
          <a:off x="18243550" y="2400300"/>
          <a:ext cx="9076055" cy="1004570"/>
        </a:xfrm>
        <a:prstGeom prst="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cene3d>
            <a:camera prst="orthographicFront"/>
            <a:lightRig rig="threePt" dir="t"/>
          </a:scene3d>
        </a:bodyPr>
        <a:p>
          <a:pPr algn="l"/>
          <a:r>
            <a:rPr lang="en-US" sz="11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				RECOMMENDATION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 Prioritize close monitoring of Tunisia, Libya, Zambia, and Botswana, their case numbers are rising sharply.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Focus testing and response efforts on these fast-growing countries before the situation gets worse.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South Africa remains the biggest contributor, but the new growth is coming from multiple countries  don’t put all attention on just one nation.</a:t>
          </a:r>
          <a:endParaRPr lang="en-US" sz="11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139065</xdr:colOff>
      <xdr:row>7</xdr:row>
      <xdr:rowOff>43815</xdr:rowOff>
    </xdr:from>
    <xdr:to>
      <xdr:col>44</xdr:col>
      <xdr:colOff>271780</xdr:colOff>
      <xdr:row>43</xdr:row>
      <xdr:rowOff>69850</xdr:rowOff>
    </xdr:to>
    <xdr:sp>
      <xdr:nvSpPr>
        <xdr:cNvPr id="2" name="Freeform 1"/>
        <xdr:cNvSpPr/>
      </xdr:nvSpPr>
      <xdr:spPr>
        <a:xfrm>
          <a:off x="748665" y="1332865"/>
          <a:ext cx="26345515" cy="6655435"/>
        </a:xfrm>
        <a:custGeom>
          <a:avLst/>
          <a:gdLst>
            <a:gd name="connsiteX0" fmla="*/ 71 w 41078"/>
            <a:gd name="connsiteY0" fmla="*/ 1865 h 10481"/>
            <a:gd name="connsiteX1" fmla="*/ 1936 w 41078"/>
            <a:gd name="connsiteY1" fmla="*/ 0 h 10481"/>
            <a:gd name="connsiteX2" fmla="*/ 39213 w 41078"/>
            <a:gd name="connsiteY2" fmla="*/ 0 h 10481"/>
            <a:gd name="connsiteX3" fmla="*/ 41078 w 41078"/>
            <a:gd name="connsiteY3" fmla="*/ 1865 h 10481"/>
            <a:gd name="connsiteX4" fmla="*/ 41078 w 41078"/>
            <a:gd name="connsiteY4" fmla="*/ 9326 h 10481"/>
            <a:gd name="connsiteX5" fmla="*/ 39550 w 41078"/>
            <a:gd name="connsiteY5" fmla="*/ 10481 h 10481"/>
            <a:gd name="connsiteX6" fmla="*/ 1750 w 41078"/>
            <a:gd name="connsiteY6" fmla="*/ 10421 h 10481"/>
            <a:gd name="connsiteX7" fmla="*/ 0 w 41078"/>
            <a:gd name="connsiteY7" fmla="*/ 9531 h 10481"/>
            <a:gd name="connsiteX8" fmla="*/ 71 w 41078"/>
            <a:gd name="connsiteY8" fmla="*/ 1865 h 1048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41078" h="10481">
              <a:moveTo>
                <a:pt x="71" y="1865"/>
              </a:moveTo>
              <a:cubicBezTo>
                <a:pt x="71" y="835"/>
                <a:pt x="906" y="0"/>
                <a:pt x="1936" y="0"/>
              </a:cubicBezTo>
              <a:lnTo>
                <a:pt x="39213" y="0"/>
              </a:lnTo>
              <a:cubicBezTo>
                <a:pt x="40243" y="0"/>
                <a:pt x="41078" y="835"/>
                <a:pt x="41078" y="1865"/>
              </a:cubicBezTo>
              <a:lnTo>
                <a:pt x="41078" y="9326"/>
              </a:lnTo>
              <a:cubicBezTo>
                <a:pt x="41078" y="10356"/>
                <a:pt x="40580" y="10481"/>
                <a:pt x="39550" y="10481"/>
              </a:cubicBezTo>
              <a:lnTo>
                <a:pt x="1750" y="10421"/>
              </a:lnTo>
              <a:cubicBezTo>
                <a:pt x="720" y="10421"/>
                <a:pt x="0" y="10561"/>
                <a:pt x="0" y="9531"/>
              </a:cubicBezTo>
              <a:lnTo>
                <a:pt x="71" y="1865"/>
              </a:lnTo>
              <a:close/>
            </a:path>
          </a:pathLst>
        </a:cu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p>
          <a:pPr marL="3657600" lvl="8" indent="457200" algn="l"/>
          <a:r>
            <a:rPr lang="en-US" sz="3000" b="1">
              <a:solidFill>
                <a:schemeClr val="accent4"/>
              </a:solidFill>
              <a:effectLst/>
            </a:rPr>
            <a:t>             AFRICA COVID-19 DASHBOARD   </a:t>
          </a:r>
          <a:r>
            <a:rPr lang="en-US" sz="1100">
              <a:solidFill>
                <a:schemeClr val="accent4"/>
              </a:solidFill>
            </a:rPr>
            <a:t> </a:t>
          </a:r>
          <a:endParaRPr lang="en-US" sz="1100">
            <a:solidFill>
              <a:schemeClr val="accent4"/>
            </a:solidFill>
          </a:endParaRPr>
        </a:p>
      </xdr:txBody>
    </xdr:sp>
    <xdr:clientData/>
  </xdr:twoCellAnchor>
  <xdr:oneCellAnchor>
    <xdr:from>
      <xdr:col>2</xdr:col>
      <xdr:colOff>82550</xdr:colOff>
      <xdr:row>11</xdr:row>
      <xdr:rowOff>171450</xdr:rowOff>
    </xdr:from>
    <xdr:ext cx="5019040" cy="989965"/>
    <xdr:sp>
      <xdr:nvSpPr>
        <xdr:cNvPr id="3" name="Text Box 2"/>
        <xdr:cNvSpPr txBox="1"/>
      </xdr:nvSpPr>
      <xdr:spPr>
        <a:xfrm>
          <a:off x="1301750" y="2197100"/>
          <a:ext cx="5019040" cy="9899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2000" b="1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TOP 10 COUNTRIES WITH THE </a:t>
          </a:r>
          <a:endParaRPr lang="en-US" sz="2000" b="1"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2000" b="1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LOWEST CASES IN AFRICA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/>
        </a:p>
      </xdr:txBody>
    </xdr:sp>
    <xdr:clientData/>
  </xdr:oneCellAnchor>
  <xdr:twoCellAnchor>
    <xdr:from>
      <xdr:col>7</xdr:col>
      <xdr:colOff>343535</xdr:colOff>
      <xdr:row>11</xdr:row>
      <xdr:rowOff>75565</xdr:rowOff>
    </xdr:from>
    <xdr:to>
      <xdr:col>16</xdr:col>
      <xdr:colOff>401955</xdr:colOff>
      <xdr:row>17</xdr:row>
      <xdr:rowOff>9525</xdr:rowOff>
    </xdr:to>
    <xdr:sp>
      <xdr:nvSpPr>
        <xdr:cNvPr id="4" name="Rounded Rectangle 3"/>
        <xdr:cNvSpPr/>
      </xdr:nvSpPr>
      <xdr:spPr>
        <a:xfrm>
          <a:off x="4610735" y="2101215"/>
          <a:ext cx="5544820" cy="103886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7</xdr:col>
      <xdr:colOff>445770</xdr:colOff>
      <xdr:row>12</xdr:row>
      <xdr:rowOff>44450</xdr:rowOff>
    </xdr:from>
    <xdr:ext cx="1079500" cy="749935"/>
    <xdr:sp>
      <xdr:nvSpPr>
        <xdr:cNvPr id="5" name="Text Box 4"/>
        <xdr:cNvSpPr txBox="1"/>
      </xdr:nvSpPr>
      <xdr:spPr>
        <a:xfrm>
          <a:off x="4712970" y="2254250"/>
          <a:ext cx="1079500" cy="749935"/>
        </a:xfrm>
        <a:prstGeom prst="rect">
          <a:avLst/>
        </a:prstGeom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700" b="1"/>
            <a:t>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POPULATION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600" b="1">
              <a:solidFill>
                <a:srgbClr val="FF0000"/>
              </a:solidFill>
            </a:rPr>
            <a:t>64,331,709</a:t>
          </a:r>
          <a:endParaRPr lang="en-US" sz="1100" b="1"/>
        </a:p>
        <a:p>
          <a:pPr algn="l"/>
          <a:endParaRPr lang="en-US" sz="1100" b="1"/>
        </a:p>
      </xdr:txBody>
    </xdr:sp>
    <xdr:clientData/>
  </xdr:oneCellAnchor>
  <xdr:oneCellAnchor>
    <xdr:from>
      <xdr:col>9</xdr:col>
      <xdr:colOff>374650</xdr:colOff>
      <xdr:row>12</xdr:row>
      <xdr:rowOff>43180</xdr:rowOff>
    </xdr:from>
    <xdr:ext cx="1002665" cy="744855"/>
    <xdr:sp>
      <xdr:nvSpPr>
        <xdr:cNvPr id="6" name="Text Box 5"/>
        <xdr:cNvSpPr txBox="1"/>
      </xdr:nvSpPr>
      <xdr:spPr>
        <a:xfrm>
          <a:off x="5861050" y="2252980"/>
          <a:ext cx="1002665" cy="744855"/>
        </a:xfrm>
        <a:prstGeom prst="rect">
          <a:avLst/>
        </a:prstGeom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700" b="1"/>
            <a:t>   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TEST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1,039,971</a:t>
          </a:r>
          <a:endParaRPr lang="en-US" sz="1100" b="1"/>
        </a:p>
        <a:p>
          <a:pPr algn="l"/>
          <a:endParaRPr lang="en-US" sz="1100" b="1"/>
        </a:p>
      </xdr:txBody>
    </xdr:sp>
    <xdr:clientData/>
  </xdr:oneCellAnchor>
  <xdr:twoCellAnchor>
    <xdr:from>
      <xdr:col>11</xdr:col>
      <xdr:colOff>241300</xdr:colOff>
      <xdr:row>12</xdr:row>
      <xdr:rowOff>38100</xdr:rowOff>
    </xdr:from>
    <xdr:to>
      <xdr:col>12</xdr:col>
      <xdr:colOff>463550</xdr:colOff>
      <xdr:row>16</xdr:row>
      <xdr:rowOff>45085</xdr:rowOff>
    </xdr:to>
    <xdr:sp>
      <xdr:nvSpPr>
        <xdr:cNvPr id="7" name="Text Box 6"/>
        <xdr:cNvSpPr txBox="1"/>
      </xdr:nvSpPr>
      <xdr:spPr>
        <a:xfrm>
          <a:off x="6946900" y="2247900"/>
          <a:ext cx="831850" cy="74358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700" b="1"/>
            <a:t>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CASES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63,855</a:t>
          </a:r>
          <a:endParaRPr lang="en-US" sz="1100" b="1"/>
        </a:p>
        <a:p>
          <a:pPr algn="l"/>
          <a:endParaRPr lang="en-US" sz="1100" b="1"/>
        </a:p>
        <a:p>
          <a:pPr algn="l"/>
          <a:endParaRPr lang="en-US" sz="1100" b="1"/>
        </a:p>
      </xdr:txBody>
    </xdr:sp>
    <xdr:clientData/>
  </xdr:twoCellAnchor>
  <xdr:twoCellAnchor>
    <xdr:from>
      <xdr:col>12</xdr:col>
      <xdr:colOff>572770</xdr:colOff>
      <xdr:row>12</xdr:row>
      <xdr:rowOff>45085</xdr:rowOff>
    </xdr:from>
    <xdr:to>
      <xdr:col>14</xdr:col>
      <xdr:colOff>483235</xdr:colOff>
      <xdr:row>16</xdr:row>
      <xdr:rowOff>69850</xdr:rowOff>
    </xdr:to>
    <xdr:sp>
      <xdr:nvSpPr>
        <xdr:cNvPr id="8" name="Text Box 7"/>
        <xdr:cNvSpPr txBox="1"/>
      </xdr:nvSpPr>
      <xdr:spPr>
        <a:xfrm>
          <a:off x="7887970" y="2254885"/>
          <a:ext cx="1129665" cy="761365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700" b="1"/>
            <a:t>   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RECOVERED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  50,882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100" b="1"/>
            <a:t> </a:t>
          </a:r>
          <a:endParaRPr lang="en-US" sz="1100" b="1"/>
        </a:p>
      </xdr:txBody>
    </xdr:sp>
    <xdr:clientData/>
  </xdr:twoCellAnchor>
  <xdr:oneCellAnchor>
    <xdr:from>
      <xdr:col>14</xdr:col>
      <xdr:colOff>578485</xdr:colOff>
      <xdr:row>12</xdr:row>
      <xdr:rowOff>45085</xdr:rowOff>
    </xdr:from>
    <xdr:ext cx="926465" cy="749300"/>
    <xdr:sp>
      <xdr:nvSpPr>
        <xdr:cNvPr id="9" name="Text Box 8"/>
        <xdr:cNvSpPr txBox="1"/>
      </xdr:nvSpPr>
      <xdr:spPr>
        <a:xfrm>
          <a:off x="9112885" y="2254885"/>
          <a:ext cx="926465" cy="749300"/>
        </a:xfrm>
        <a:prstGeom prst="rect">
          <a:avLst/>
        </a:prstGeom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700" b="1"/>
            <a:t>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DEATHS 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  1,430</a:t>
          </a:r>
          <a:endParaRPr lang="en-US" sz="1700" b="1">
            <a:solidFill>
              <a:srgbClr val="FF0000"/>
            </a:solidFill>
          </a:endParaRPr>
        </a:p>
        <a:p>
          <a:pPr algn="l"/>
          <a:endParaRPr lang="en-US" sz="1700" b="1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101600</xdr:colOff>
      <xdr:row>17</xdr:row>
      <xdr:rowOff>102235</xdr:rowOff>
    </xdr:from>
    <xdr:to>
      <xdr:col>12</xdr:col>
      <xdr:colOff>546100</xdr:colOff>
      <xdr:row>29</xdr:row>
      <xdr:rowOff>150495</xdr:rowOff>
    </xdr:to>
    <xdr:sp>
      <xdr:nvSpPr>
        <xdr:cNvPr id="11" name="Rectangles 10"/>
        <xdr:cNvSpPr/>
      </xdr:nvSpPr>
      <xdr:spPr>
        <a:xfrm>
          <a:off x="3149600" y="3232785"/>
          <a:ext cx="4711700" cy="2258060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17</xdr:row>
      <xdr:rowOff>95885</xdr:rowOff>
    </xdr:from>
    <xdr:to>
      <xdr:col>20</xdr:col>
      <xdr:colOff>444500</xdr:colOff>
      <xdr:row>29</xdr:row>
      <xdr:rowOff>131445</xdr:rowOff>
    </xdr:to>
    <xdr:sp>
      <xdr:nvSpPr>
        <xdr:cNvPr id="12" name="Rectangles 11"/>
        <xdr:cNvSpPr/>
      </xdr:nvSpPr>
      <xdr:spPr>
        <a:xfrm>
          <a:off x="7924800" y="3226435"/>
          <a:ext cx="4711700" cy="2245360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514350</xdr:colOff>
      <xdr:row>17</xdr:row>
      <xdr:rowOff>95885</xdr:rowOff>
    </xdr:from>
    <xdr:to>
      <xdr:col>28</xdr:col>
      <xdr:colOff>349250</xdr:colOff>
      <xdr:row>29</xdr:row>
      <xdr:rowOff>118745</xdr:rowOff>
    </xdr:to>
    <xdr:sp>
      <xdr:nvSpPr>
        <xdr:cNvPr id="16" name="Rectangles 15"/>
        <xdr:cNvSpPr/>
      </xdr:nvSpPr>
      <xdr:spPr>
        <a:xfrm>
          <a:off x="12706350" y="3226435"/>
          <a:ext cx="4711700" cy="2232660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28</xdr:col>
      <xdr:colOff>393700</xdr:colOff>
      <xdr:row>17</xdr:row>
      <xdr:rowOff>102235</xdr:rowOff>
    </xdr:from>
    <xdr:to>
      <xdr:col>36</xdr:col>
      <xdr:colOff>228600</xdr:colOff>
      <xdr:row>29</xdr:row>
      <xdr:rowOff>106680</xdr:rowOff>
    </xdr:to>
    <xdr:sp>
      <xdr:nvSpPr>
        <xdr:cNvPr id="17" name="Rectangles 16"/>
        <xdr:cNvSpPr/>
      </xdr:nvSpPr>
      <xdr:spPr>
        <a:xfrm>
          <a:off x="17462500" y="3232785"/>
          <a:ext cx="4711700" cy="2214245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36</xdr:col>
      <xdr:colOff>304800</xdr:colOff>
      <xdr:row>17</xdr:row>
      <xdr:rowOff>102235</xdr:rowOff>
    </xdr:from>
    <xdr:to>
      <xdr:col>44</xdr:col>
      <xdr:colOff>139700</xdr:colOff>
      <xdr:row>29</xdr:row>
      <xdr:rowOff>99695</xdr:rowOff>
    </xdr:to>
    <xdr:sp>
      <xdr:nvSpPr>
        <xdr:cNvPr id="18" name="Rectangles 17"/>
        <xdr:cNvSpPr/>
      </xdr:nvSpPr>
      <xdr:spPr>
        <a:xfrm>
          <a:off x="22250400" y="3232785"/>
          <a:ext cx="4711700" cy="2207260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101600</xdr:colOff>
      <xdr:row>30</xdr:row>
      <xdr:rowOff>6985</xdr:rowOff>
    </xdr:from>
    <xdr:to>
      <xdr:col>12</xdr:col>
      <xdr:colOff>546100</xdr:colOff>
      <xdr:row>42</xdr:row>
      <xdr:rowOff>55245</xdr:rowOff>
    </xdr:to>
    <xdr:sp>
      <xdr:nvSpPr>
        <xdr:cNvPr id="19" name="Rectangles 18"/>
        <xdr:cNvSpPr/>
      </xdr:nvSpPr>
      <xdr:spPr>
        <a:xfrm>
          <a:off x="3149600" y="5531485"/>
          <a:ext cx="4711700" cy="2258060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0</xdr:colOff>
      <xdr:row>30</xdr:row>
      <xdr:rowOff>6985</xdr:rowOff>
    </xdr:from>
    <xdr:to>
      <xdr:col>20</xdr:col>
      <xdr:colOff>444500</xdr:colOff>
      <xdr:row>42</xdr:row>
      <xdr:rowOff>55245</xdr:rowOff>
    </xdr:to>
    <xdr:sp>
      <xdr:nvSpPr>
        <xdr:cNvPr id="20" name="Rectangles 19"/>
        <xdr:cNvSpPr/>
      </xdr:nvSpPr>
      <xdr:spPr>
        <a:xfrm>
          <a:off x="7924800" y="5531485"/>
          <a:ext cx="4711700" cy="2258060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20</xdr:col>
      <xdr:colOff>501650</xdr:colOff>
      <xdr:row>30</xdr:row>
      <xdr:rowOff>6985</xdr:rowOff>
    </xdr:from>
    <xdr:to>
      <xdr:col>28</xdr:col>
      <xdr:colOff>336550</xdr:colOff>
      <xdr:row>42</xdr:row>
      <xdr:rowOff>61595</xdr:rowOff>
    </xdr:to>
    <xdr:sp>
      <xdr:nvSpPr>
        <xdr:cNvPr id="22" name="Rectangles 21"/>
        <xdr:cNvSpPr/>
      </xdr:nvSpPr>
      <xdr:spPr>
        <a:xfrm>
          <a:off x="12693650" y="5531485"/>
          <a:ext cx="4711700" cy="2264410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28</xdr:col>
      <xdr:colOff>387350</xdr:colOff>
      <xdr:row>29</xdr:row>
      <xdr:rowOff>178435</xdr:rowOff>
    </xdr:from>
    <xdr:to>
      <xdr:col>36</xdr:col>
      <xdr:colOff>222250</xdr:colOff>
      <xdr:row>42</xdr:row>
      <xdr:rowOff>29845</xdr:rowOff>
    </xdr:to>
    <xdr:sp>
      <xdr:nvSpPr>
        <xdr:cNvPr id="23" name="Rectangles 22"/>
        <xdr:cNvSpPr/>
      </xdr:nvSpPr>
      <xdr:spPr>
        <a:xfrm>
          <a:off x="17456150" y="5518785"/>
          <a:ext cx="4711700" cy="2245360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36</xdr:col>
      <xdr:colOff>297815</xdr:colOff>
      <xdr:row>29</xdr:row>
      <xdr:rowOff>178435</xdr:rowOff>
    </xdr:from>
    <xdr:to>
      <xdr:col>44</xdr:col>
      <xdr:colOff>120650</xdr:colOff>
      <xdr:row>42</xdr:row>
      <xdr:rowOff>42545</xdr:rowOff>
    </xdr:to>
    <xdr:sp>
      <xdr:nvSpPr>
        <xdr:cNvPr id="24" name="Rectangles 23"/>
        <xdr:cNvSpPr/>
      </xdr:nvSpPr>
      <xdr:spPr>
        <a:xfrm>
          <a:off x="22243415" y="5518785"/>
          <a:ext cx="4699635" cy="2258060"/>
        </a:xfrm>
        <a:prstGeom prst="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393700</xdr:colOff>
      <xdr:row>17</xdr:row>
      <xdr:rowOff>121285</xdr:rowOff>
    </xdr:from>
    <xdr:to>
      <xdr:col>4</xdr:col>
      <xdr:colOff>601980</xdr:colOff>
      <xdr:row>42</xdr:row>
      <xdr:rowOff>63500</xdr:rowOff>
    </xdr:to>
    <xdr:sp>
      <xdr:nvSpPr>
        <xdr:cNvPr id="25" name="Frame 24"/>
        <xdr:cNvSpPr/>
      </xdr:nvSpPr>
      <xdr:spPr>
        <a:xfrm>
          <a:off x="1003300" y="3251835"/>
          <a:ext cx="2037080" cy="4545965"/>
        </a:xfrm>
        <a:prstGeom prst="fram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TOTAL POPULATION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</a:t>
          </a:r>
          <a:r>
            <a:rPr lang="en-US" sz="2000" b="1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487,515,881</a:t>
          </a:r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TOTAL TEST</a:t>
          </a:r>
          <a:endParaRPr lang="en-US" sz="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65,168,182 </a:t>
          </a:r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TOTAL CASES</a:t>
          </a:r>
          <a:endParaRPr lang="en-US" sz="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1"/>
            <a:t> </a:t>
          </a:r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9,172,220 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TOTAL RECOVERED</a:t>
          </a:r>
          <a:endParaRPr lang="en-US" sz="9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8,853,074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TOTAL DEATH</a:t>
          </a:r>
          <a:endParaRPr lang="en-US" sz="11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199,515 </a:t>
          </a:r>
          <a:endParaRPr lang="en-US" sz="1100"/>
        </a:p>
        <a:p>
          <a:pPr algn="l"/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101600</xdr:colOff>
      <xdr:row>17</xdr:row>
      <xdr:rowOff>102235</xdr:rowOff>
    </xdr:from>
    <xdr:to>
      <xdr:col>12</xdr:col>
      <xdr:colOff>541020</xdr:colOff>
      <xdr:row>29</xdr:row>
      <xdr:rowOff>153035</xdr:rowOff>
    </xdr:to>
    <xdr:graphicFrame>
      <xdr:nvGraphicFramePr>
        <xdr:cNvPr id="26" name="Chart 25"/>
        <xdr:cNvGraphicFramePr/>
      </xdr:nvGraphicFramePr>
      <xdr:xfrm>
        <a:off x="3149600" y="3232785"/>
        <a:ext cx="4706620" cy="226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30</xdr:row>
      <xdr:rowOff>6985</xdr:rowOff>
    </xdr:from>
    <xdr:to>
      <xdr:col>12</xdr:col>
      <xdr:colOff>558800</xdr:colOff>
      <xdr:row>42</xdr:row>
      <xdr:rowOff>65405</xdr:rowOff>
    </xdr:to>
    <xdr:graphicFrame>
      <xdr:nvGraphicFramePr>
        <xdr:cNvPr id="27" name="Chart 26"/>
        <xdr:cNvGraphicFramePr/>
      </xdr:nvGraphicFramePr>
      <xdr:xfrm>
        <a:off x="3149600" y="5531485"/>
        <a:ext cx="4724400" cy="2268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17</xdr:row>
      <xdr:rowOff>95885</xdr:rowOff>
    </xdr:from>
    <xdr:to>
      <xdr:col>20</xdr:col>
      <xdr:colOff>450850</xdr:colOff>
      <xdr:row>29</xdr:row>
      <xdr:rowOff>127635</xdr:rowOff>
    </xdr:to>
    <xdr:graphicFrame>
      <xdr:nvGraphicFramePr>
        <xdr:cNvPr id="10" name="Chart 9"/>
        <xdr:cNvGraphicFramePr/>
      </xdr:nvGraphicFramePr>
      <xdr:xfrm>
        <a:off x="7924800" y="3226435"/>
        <a:ext cx="4718050" cy="2241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602615</xdr:colOff>
      <xdr:row>30</xdr:row>
      <xdr:rowOff>6985</xdr:rowOff>
    </xdr:from>
    <xdr:to>
      <xdr:col>20</xdr:col>
      <xdr:colOff>449580</xdr:colOff>
      <xdr:row>42</xdr:row>
      <xdr:rowOff>64135</xdr:rowOff>
    </xdr:to>
    <xdr:graphicFrame>
      <xdr:nvGraphicFramePr>
        <xdr:cNvPr id="13" name="Chart 12"/>
        <xdr:cNvGraphicFramePr/>
      </xdr:nvGraphicFramePr>
      <xdr:xfrm>
        <a:off x="7917815" y="5531485"/>
        <a:ext cx="4723765" cy="2266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514350</xdr:colOff>
      <xdr:row>17</xdr:row>
      <xdr:rowOff>95885</xdr:rowOff>
    </xdr:from>
    <xdr:to>
      <xdr:col>28</xdr:col>
      <xdr:colOff>342900</xdr:colOff>
      <xdr:row>29</xdr:row>
      <xdr:rowOff>114935</xdr:rowOff>
    </xdr:to>
    <xdr:graphicFrame>
      <xdr:nvGraphicFramePr>
        <xdr:cNvPr id="14" name="Chart 13"/>
        <xdr:cNvGraphicFramePr/>
      </xdr:nvGraphicFramePr>
      <xdr:xfrm>
        <a:off x="12706350" y="3226435"/>
        <a:ext cx="4705350" cy="222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501650</xdr:colOff>
      <xdr:row>30</xdr:row>
      <xdr:rowOff>6985</xdr:rowOff>
    </xdr:from>
    <xdr:to>
      <xdr:col>28</xdr:col>
      <xdr:colOff>343535</xdr:colOff>
      <xdr:row>42</xdr:row>
      <xdr:rowOff>69215</xdr:rowOff>
    </xdr:to>
    <xdr:graphicFrame>
      <xdr:nvGraphicFramePr>
        <xdr:cNvPr id="15" name="Chart 14"/>
        <xdr:cNvGraphicFramePr/>
      </xdr:nvGraphicFramePr>
      <xdr:xfrm>
        <a:off x="12693650" y="5531485"/>
        <a:ext cx="4718685" cy="2272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393700</xdr:colOff>
      <xdr:row>17</xdr:row>
      <xdr:rowOff>102235</xdr:rowOff>
    </xdr:from>
    <xdr:to>
      <xdr:col>36</xdr:col>
      <xdr:colOff>221615</xdr:colOff>
      <xdr:row>29</xdr:row>
      <xdr:rowOff>102235</xdr:rowOff>
    </xdr:to>
    <xdr:graphicFrame>
      <xdr:nvGraphicFramePr>
        <xdr:cNvPr id="21" name="Chart 20"/>
        <xdr:cNvGraphicFramePr/>
      </xdr:nvGraphicFramePr>
      <xdr:xfrm>
        <a:off x="17462500" y="3232785"/>
        <a:ext cx="4704715" cy="220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381000</xdr:colOff>
      <xdr:row>30</xdr:row>
      <xdr:rowOff>0</xdr:rowOff>
    </xdr:from>
    <xdr:to>
      <xdr:col>36</xdr:col>
      <xdr:colOff>241300</xdr:colOff>
      <xdr:row>42</xdr:row>
      <xdr:rowOff>76200</xdr:rowOff>
    </xdr:to>
    <xdr:graphicFrame>
      <xdr:nvGraphicFramePr>
        <xdr:cNvPr id="28" name="Chart 27"/>
        <xdr:cNvGraphicFramePr/>
      </xdr:nvGraphicFramePr>
      <xdr:xfrm>
        <a:off x="17449800" y="5524500"/>
        <a:ext cx="4737100" cy="2286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304800</xdr:colOff>
      <xdr:row>17</xdr:row>
      <xdr:rowOff>102235</xdr:rowOff>
    </xdr:from>
    <xdr:to>
      <xdr:col>44</xdr:col>
      <xdr:colOff>153035</xdr:colOff>
      <xdr:row>29</xdr:row>
      <xdr:rowOff>109220</xdr:rowOff>
    </xdr:to>
    <xdr:graphicFrame>
      <xdr:nvGraphicFramePr>
        <xdr:cNvPr id="29" name="Chart 28"/>
        <xdr:cNvGraphicFramePr/>
      </xdr:nvGraphicFramePr>
      <xdr:xfrm>
        <a:off x="22250400" y="3232785"/>
        <a:ext cx="4725035" cy="2216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297815</xdr:colOff>
      <xdr:row>29</xdr:row>
      <xdr:rowOff>178435</xdr:rowOff>
    </xdr:from>
    <xdr:to>
      <xdr:col>44</xdr:col>
      <xdr:colOff>114300</xdr:colOff>
      <xdr:row>42</xdr:row>
      <xdr:rowOff>58420</xdr:rowOff>
    </xdr:to>
    <xdr:graphicFrame>
      <xdr:nvGraphicFramePr>
        <xdr:cNvPr id="30" name="Chart 29"/>
        <xdr:cNvGraphicFramePr/>
      </xdr:nvGraphicFramePr>
      <xdr:xfrm>
        <a:off x="22243415" y="5518785"/>
        <a:ext cx="4693285" cy="2273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17</xdr:col>
      <xdr:colOff>488950</xdr:colOff>
      <xdr:row>11</xdr:row>
      <xdr:rowOff>57785</xdr:rowOff>
    </xdr:from>
    <xdr:ext cx="8013700" cy="1053465"/>
    <xdr:sp>
      <xdr:nvSpPr>
        <xdr:cNvPr id="31" name="Text Box 30"/>
        <xdr:cNvSpPr txBox="1"/>
      </xdr:nvSpPr>
      <xdr:spPr>
        <a:xfrm>
          <a:off x="10852150" y="2083435"/>
          <a:ext cx="8013700" cy="1053465"/>
        </a:xfrm>
        <a:prstGeom prst="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                                                           KEY INSIGHT </a:t>
          </a:r>
          <a:endParaRPr 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most countries in the lowest cases group remain very stable with almost no new infections. </a:t>
          </a:r>
          <a:endParaRPr 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However, Sao Tome and Principe and Chad have recorded sudden sharp increases, breaking </a:t>
          </a:r>
          <a:endParaRPr 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the calm in that group.</a:t>
          </a:r>
          <a:endParaRPr 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oneCellAnchor>
  <xdr:oneCellAnchor>
    <xdr:from>
      <xdr:col>31</xdr:col>
      <xdr:colOff>476250</xdr:colOff>
      <xdr:row>11</xdr:row>
      <xdr:rowOff>44450</xdr:rowOff>
    </xdr:from>
    <xdr:ext cx="7507605" cy="1073150"/>
    <xdr:sp>
      <xdr:nvSpPr>
        <xdr:cNvPr id="32" name="Text Box 31"/>
        <xdr:cNvSpPr txBox="1"/>
      </xdr:nvSpPr>
      <xdr:spPr>
        <a:xfrm>
          <a:off x="19373850" y="2070100"/>
          <a:ext cx="7507605" cy="1073150"/>
        </a:xfrm>
        <a:prstGeom prst="rect">
          <a:avLst/>
        </a:prstGeom>
        <a:ln>
          <a:solidFill>
            <a:schemeClr val="accent1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cene3d>
            <a:camera prst="orthographicFront"/>
            <a:lightRig rig="threePt" dir="t"/>
          </a:scene3d>
        </a:bodyPr>
        <a:p>
          <a:pPr algn="l"/>
          <a:r>
            <a:rPr lang="en-US" sz="14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                                                   RECOMMENDATION</a:t>
          </a:r>
          <a:endParaRPr lang="en-US" sz="14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1. Closely watch Sao Tome and Principe and Chad as they are the only ones breaking out of the low-case group.</a:t>
          </a:r>
          <a:endParaRPr lang="en-US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2. Continue light monitoring on the other low-case countries (they remain calm for now).</a:t>
          </a:r>
          <a:endParaRPr lang="en-US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Times New Roman" panose="02020603050405020304" charset="0"/>
              <a:cs typeface="Times New Roman" panose="02020603050405020304" charset="0"/>
            </a:rPr>
            <a:t>3. Use this as an early warning — quick action in these two countries can stop small rises from becoming big problems.</a:t>
          </a:r>
          <a:endParaRPr lang="en-US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558800</xdr:colOff>
      <xdr:row>0</xdr:row>
      <xdr:rowOff>6350</xdr:rowOff>
    </xdr:from>
    <xdr:to>
      <xdr:col>32</xdr:col>
      <xdr:colOff>398145</xdr:colOff>
      <xdr:row>44</xdr:row>
      <xdr:rowOff>120015</xdr:rowOff>
    </xdr:to>
    <xdr:sp>
      <xdr:nvSpPr>
        <xdr:cNvPr id="2" name="Rectangles 1"/>
        <xdr:cNvSpPr/>
      </xdr:nvSpPr>
      <xdr:spPr>
        <a:xfrm>
          <a:off x="558800" y="6350"/>
          <a:ext cx="19346545" cy="8216265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p>
          <a:pPr marL="3657600" lvl="8" indent="457200" algn="l"/>
          <a:r>
            <a:rPr lang="en-US" sz="1100">
              <a:solidFill>
                <a:schemeClr val="accent4"/>
              </a:solidFill>
            </a:rPr>
            <a:t>   </a:t>
          </a:r>
          <a:r>
            <a:rPr lang="en-US" sz="2000" b="1">
              <a:solidFill>
                <a:schemeClr val="accent4"/>
              </a:solidFill>
              <a:effectLst/>
            </a:rPr>
            <a:t> AFRICA COVID-19 DASHBOARD </a:t>
          </a:r>
          <a:endParaRPr lang="en-US" sz="2000" b="1">
            <a:solidFill>
              <a:schemeClr val="accent4"/>
            </a:solidFill>
            <a:effectLst/>
          </a:endParaRPr>
        </a:p>
      </xdr:txBody>
    </xdr:sp>
    <xdr:clientData/>
  </xdr:twoCellAnchor>
  <xdr:twoCellAnchor>
    <xdr:from>
      <xdr:col>1</xdr:col>
      <xdr:colOff>50800</xdr:colOff>
      <xdr:row>8</xdr:row>
      <xdr:rowOff>83185</xdr:rowOff>
    </xdr:from>
    <xdr:to>
      <xdr:col>4</xdr:col>
      <xdr:colOff>214630</xdr:colOff>
      <xdr:row>40</xdr:row>
      <xdr:rowOff>26035</xdr:rowOff>
    </xdr:to>
    <xdr:sp>
      <xdr:nvSpPr>
        <xdr:cNvPr id="3" name="Frame 2"/>
        <xdr:cNvSpPr/>
      </xdr:nvSpPr>
      <xdr:spPr>
        <a:xfrm>
          <a:off x="660400" y="1556385"/>
          <a:ext cx="1992630" cy="5835650"/>
        </a:xfrm>
        <a:prstGeom prst="fram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TOTAL POPULATION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</a:t>
          </a:r>
          <a:r>
            <a:rPr lang="en-US" sz="2000" b="1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487,515,881</a:t>
          </a:r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TOTAL TEST</a:t>
          </a:r>
          <a:endParaRPr lang="en-US" sz="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65,168,182 </a:t>
          </a:r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TOTAL CASES</a:t>
          </a:r>
          <a:endParaRPr lang="en-US" sz="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1"/>
            <a:t> </a:t>
          </a:r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9,172,220 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TOTAL RECOVERED</a:t>
          </a:r>
          <a:endParaRPr lang="en-US" sz="9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8,853,074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TOTAL DEATH</a:t>
          </a:r>
          <a:endParaRPr lang="en-US" sz="11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199,515 </a:t>
          </a:r>
          <a:endParaRPr lang="en-US" sz="1100"/>
        </a:p>
        <a:p>
          <a:pPr algn="l"/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oneCellAnchor>
    <xdr:from>
      <xdr:col>0</xdr:col>
      <xdr:colOff>578485</xdr:colOff>
      <xdr:row>2</xdr:row>
      <xdr:rowOff>25400</xdr:rowOff>
    </xdr:from>
    <xdr:ext cx="6386195" cy="922020"/>
    <xdr:sp>
      <xdr:nvSpPr>
        <xdr:cNvPr id="4" name="Text Box 3"/>
        <xdr:cNvSpPr txBox="1"/>
      </xdr:nvSpPr>
      <xdr:spPr>
        <a:xfrm>
          <a:off x="578485" y="393700"/>
          <a:ext cx="6386195" cy="9220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TOP 10 COUNTRIES WITH THE HIGHEST CASES  IN AFRICA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12</xdr:col>
      <xdr:colOff>571500</xdr:colOff>
      <xdr:row>2</xdr:row>
      <xdr:rowOff>57150</xdr:rowOff>
    </xdr:from>
    <xdr:ext cx="6790055" cy="989965"/>
    <xdr:sp>
      <xdr:nvSpPr>
        <xdr:cNvPr id="5" name="Text Box 4"/>
        <xdr:cNvSpPr txBox="1"/>
      </xdr:nvSpPr>
      <xdr:spPr>
        <a:xfrm>
          <a:off x="7886700" y="425450"/>
          <a:ext cx="6790055" cy="9899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TOP 10 COUNTRIES WITH THE LOWEST CASES IN AFRICA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/>
        </a:p>
      </xdr:txBody>
    </xdr:sp>
    <xdr:clientData/>
  </xdr:oneCellAnchor>
  <xdr:twoCellAnchor>
    <xdr:from>
      <xdr:col>12</xdr:col>
      <xdr:colOff>603250</xdr:colOff>
      <xdr:row>2</xdr:row>
      <xdr:rowOff>158750</xdr:rowOff>
    </xdr:from>
    <xdr:to>
      <xdr:col>13</xdr:col>
      <xdr:colOff>19050</xdr:colOff>
      <xdr:row>44</xdr:row>
      <xdr:rowOff>19050</xdr:rowOff>
    </xdr:to>
    <xdr:cxnSp>
      <xdr:nvCxnSpPr>
        <xdr:cNvPr id="6" name="Straight Connector 5"/>
        <xdr:cNvCxnSpPr/>
      </xdr:nvCxnSpPr>
      <xdr:spPr>
        <a:xfrm>
          <a:off x="7918450" y="527050"/>
          <a:ext cx="25400" cy="7594600"/>
        </a:xfrm>
        <a:prstGeom prst="line">
          <a:avLst/>
        </a:prstGeom>
        <a:ln w="31750" cap="rnd">
          <a:solidFill>
            <a:schemeClr val="bg1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153670</xdr:colOff>
      <xdr:row>8</xdr:row>
      <xdr:rowOff>76835</xdr:rowOff>
    </xdr:from>
    <xdr:to>
      <xdr:col>22</xdr:col>
      <xdr:colOff>329565</xdr:colOff>
      <xdr:row>24</xdr:row>
      <xdr:rowOff>37465</xdr:rowOff>
    </xdr:to>
    <xdr:sp>
      <xdr:nvSpPr>
        <xdr:cNvPr id="8" name="Rectangles 7"/>
        <xdr:cNvSpPr/>
      </xdr:nvSpPr>
      <xdr:spPr>
        <a:xfrm>
          <a:off x="8078470" y="1550035"/>
          <a:ext cx="5662295" cy="29070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330200</xdr:colOff>
      <xdr:row>24</xdr:row>
      <xdr:rowOff>146050</xdr:rowOff>
    </xdr:from>
    <xdr:to>
      <xdr:col>12</xdr:col>
      <xdr:colOff>487680</xdr:colOff>
      <xdr:row>40</xdr:row>
      <xdr:rowOff>18415</xdr:rowOff>
    </xdr:to>
    <xdr:sp>
      <xdr:nvSpPr>
        <xdr:cNvPr id="9" name="Rectangles 8"/>
        <xdr:cNvSpPr/>
      </xdr:nvSpPr>
      <xdr:spPr>
        <a:xfrm>
          <a:off x="2768600" y="4565650"/>
          <a:ext cx="5034280" cy="281876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185420</xdr:colOff>
      <xdr:row>24</xdr:row>
      <xdr:rowOff>139700</xdr:rowOff>
    </xdr:from>
    <xdr:to>
      <xdr:col>22</xdr:col>
      <xdr:colOff>322580</xdr:colOff>
      <xdr:row>40</xdr:row>
      <xdr:rowOff>17145</xdr:rowOff>
    </xdr:to>
    <xdr:sp>
      <xdr:nvSpPr>
        <xdr:cNvPr id="10" name="Rectangles 9"/>
        <xdr:cNvSpPr/>
      </xdr:nvSpPr>
      <xdr:spPr>
        <a:xfrm>
          <a:off x="8110220" y="4559300"/>
          <a:ext cx="5623560" cy="282384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375285</xdr:colOff>
      <xdr:row>8</xdr:row>
      <xdr:rowOff>50800</xdr:rowOff>
    </xdr:from>
    <xdr:to>
      <xdr:col>12</xdr:col>
      <xdr:colOff>450850</xdr:colOff>
      <xdr:row>24</xdr:row>
      <xdr:rowOff>50800</xdr:rowOff>
    </xdr:to>
    <xdr:sp>
      <xdr:nvSpPr>
        <xdr:cNvPr id="11" name="Rectangles 10"/>
        <xdr:cNvSpPr/>
      </xdr:nvSpPr>
      <xdr:spPr>
        <a:xfrm>
          <a:off x="2813685" y="1524000"/>
          <a:ext cx="4952365" cy="2946400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45085</xdr:colOff>
      <xdr:row>4</xdr:row>
      <xdr:rowOff>12700</xdr:rowOff>
    </xdr:from>
    <xdr:to>
      <xdr:col>12</xdr:col>
      <xdr:colOff>426085</xdr:colOff>
      <xdr:row>7</xdr:row>
      <xdr:rowOff>163830</xdr:rowOff>
    </xdr:to>
    <xdr:sp>
      <xdr:nvSpPr>
        <xdr:cNvPr id="12" name="Rounded Rectangle 11"/>
        <xdr:cNvSpPr/>
      </xdr:nvSpPr>
      <xdr:spPr>
        <a:xfrm>
          <a:off x="654685" y="749300"/>
          <a:ext cx="7086600" cy="70358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1</xdr:col>
      <xdr:colOff>248285</xdr:colOff>
      <xdr:row>3</xdr:row>
      <xdr:rowOff>177800</xdr:rowOff>
    </xdr:from>
    <xdr:ext cx="1587500" cy="827405"/>
    <xdr:sp>
      <xdr:nvSpPr>
        <xdr:cNvPr id="13" name="Text Box 12"/>
        <xdr:cNvSpPr txBox="1"/>
      </xdr:nvSpPr>
      <xdr:spPr>
        <a:xfrm>
          <a:off x="857885" y="730250"/>
          <a:ext cx="1587500" cy="827405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POPULATION</a:t>
          </a:r>
          <a:endParaRPr lang="en-US" sz="7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400" b="1"/>
        </a:p>
        <a:p>
          <a:pPr algn="l"/>
          <a:r>
            <a:rPr lang="en-US" sz="1700" b="1">
              <a:solidFill>
                <a:srgbClr val="FF0000"/>
              </a:solidFill>
            </a:rPr>
            <a:t>423,184,172</a:t>
          </a:r>
          <a:endParaRPr lang="en-US" sz="1100"/>
        </a:p>
        <a:p>
          <a:pPr algn="l"/>
          <a:endParaRPr lang="en-US" sz="1100"/>
        </a:p>
      </xdr:txBody>
    </xdr:sp>
    <xdr:clientData/>
  </xdr:oneCellAnchor>
  <xdr:oneCellAnchor>
    <xdr:from>
      <xdr:col>3</xdr:col>
      <xdr:colOff>578485</xdr:colOff>
      <xdr:row>4</xdr:row>
      <xdr:rowOff>31750</xdr:rowOff>
    </xdr:from>
    <xdr:ext cx="1236345" cy="815975"/>
    <xdr:sp>
      <xdr:nvSpPr>
        <xdr:cNvPr id="14" name="Text Box 13"/>
        <xdr:cNvSpPr txBox="1"/>
      </xdr:nvSpPr>
      <xdr:spPr>
        <a:xfrm>
          <a:off x="2407285" y="768350"/>
          <a:ext cx="1236345" cy="815975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/>
            <a:t>             </a:t>
          </a:r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TEST</a:t>
          </a:r>
          <a:endParaRPr lang="en-US" sz="900" b="1"/>
        </a:p>
        <a:p>
          <a:pPr algn="l"/>
          <a:endParaRPr lang="en-US" sz="1100"/>
        </a:p>
        <a:p>
          <a:pPr algn="l"/>
          <a:r>
            <a:rPr lang="en-US" sz="1700" b="1">
              <a:solidFill>
                <a:srgbClr val="FF0000"/>
              </a:solidFill>
            </a:rPr>
            <a:t>64,128,211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108585</xdr:colOff>
      <xdr:row>4</xdr:row>
      <xdr:rowOff>19050</xdr:rowOff>
    </xdr:from>
    <xdr:ext cx="1200150" cy="811530"/>
    <xdr:sp>
      <xdr:nvSpPr>
        <xdr:cNvPr id="15" name="Text Box 14"/>
        <xdr:cNvSpPr txBox="1"/>
      </xdr:nvSpPr>
      <xdr:spPr>
        <a:xfrm>
          <a:off x="3766185" y="755650"/>
          <a:ext cx="1200150" cy="81153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</a:t>
          </a:r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CASES</a:t>
          </a:r>
          <a:endParaRPr lang="en-US" sz="11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9,108,365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191135</xdr:colOff>
      <xdr:row>3</xdr:row>
      <xdr:rowOff>152400</xdr:rowOff>
    </xdr:from>
    <xdr:ext cx="1273175" cy="802005"/>
    <xdr:sp>
      <xdr:nvSpPr>
        <xdr:cNvPr id="16" name="Text Box 15"/>
        <xdr:cNvSpPr txBox="1"/>
      </xdr:nvSpPr>
      <xdr:spPr>
        <a:xfrm>
          <a:off x="5067935" y="704850"/>
          <a:ext cx="1273175" cy="802005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RECOVERED </a:t>
          </a:r>
          <a:endParaRPr lang="en-US" sz="900" b="1"/>
        </a:p>
        <a:p>
          <a:pPr algn="l"/>
          <a:endParaRPr lang="en-US" sz="1700" b="1"/>
        </a:p>
        <a:p>
          <a:pPr algn="l"/>
          <a:r>
            <a:rPr lang="en-US" sz="1700" b="1">
              <a:solidFill>
                <a:srgbClr val="FF0000"/>
              </a:solidFill>
            </a:rPr>
            <a:t>8,802,192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210185</xdr:colOff>
      <xdr:row>4</xdr:row>
      <xdr:rowOff>19050</xdr:rowOff>
    </xdr:from>
    <xdr:ext cx="1129665" cy="787400"/>
    <xdr:sp>
      <xdr:nvSpPr>
        <xdr:cNvPr id="17" name="Text Box 16"/>
        <xdr:cNvSpPr txBox="1"/>
      </xdr:nvSpPr>
      <xdr:spPr>
        <a:xfrm>
          <a:off x="6306185" y="755650"/>
          <a:ext cx="1129665" cy="78740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    </a:t>
          </a:r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DEATHS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  198,085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190500</xdr:colOff>
      <xdr:row>4</xdr:row>
      <xdr:rowOff>50800</xdr:rowOff>
    </xdr:from>
    <xdr:to>
      <xdr:col>22</xdr:col>
      <xdr:colOff>222885</xdr:colOff>
      <xdr:row>7</xdr:row>
      <xdr:rowOff>170815</xdr:rowOff>
    </xdr:to>
    <xdr:sp>
      <xdr:nvSpPr>
        <xdr:cNvPr id="18" name="Rounded Rectangle 17"/>
        <xdr:cNvSpPr/>
      </xdr:nvSpPr>
      <xdr:spPr>
        <a:xfrm>
          <a:off x="8115300" y="787400"/>
          <a:ext cx="5518785" cy="67246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13</xdr:col>
      <xdr:colOff>299085</xdr:colOff>
      <xdr:row>4</xdr:row>
      <xdr:rowOff>33020</xdr:rowOff>
    </xdr:from>
    <xdr:ext cx="1079500" cy="825500"/>
    <xdr:sp>
      <xdr:nvSpPr>
        <xdr:cNvPr id="19" name="Text Box 18"/>
        <xdr:cNvSpPr txBox="1"/>
      </xdr:nvSpPr>
      <xdr:spPr>
        <a:xfrm>
          <a:off x="8223885" y="769620"/>
          <a:ext cx="1079500" cy="82550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POPULATION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600" b="1">
              <a:solidFill>
                <a:srgbClr val="FF0000"/>
              </a:solidFill>
            </a:rPr>
            <a:t>64,331,709</a:t>
          </a:r>
          <a:endParaRPr lang="en-US" sz="1100" b="1"/>
        </a:p>
        <a:p>
          <a:pPr algn="l"/>
          <a:endParaRPr lang="en-US" sz="1100" b="1"/>
        </a:p>
      </xdr:txBody>
    </xdr:sp>
    <xdr:clientData/>
  </xdr:oneCellAnchor>
  <xdr:oneCellAnchor>
    <xdr:from>
      <xdr:col>15</xdr:col>
      <xdr:colOff>210185</xdr:colOff>
      <xdr:row>4</xdr:row>
      <xdr:rowOff>71120</xdr:rowOff>
    </xdr:from>
    <xdr:ext cx="1002665" cy="813435"/>
    <xdr:sp>
      <xdr:nvSpPr>
        <xdr:cNvPr id="20" name="Text Box 19"/>
        <xdr:cNvSpPr txBox="1"/>
      </xdr:nvSpPr>
      <xdr:spPr>
        <a:xfrm>
          <a:off x="9354185" y="807720"/>
          <a:ext cx="1002665" cy="813435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TEST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1,039,971</a:t>
          </a:r>
          <a:endParaRPr lang="en-US" sz="1100" b="1"/>
        </a:p>
        <a:p>
          <a:pPr algn="l"/>
          <a:endParaRPr lang="en-US" sz="1100" b="1"/>
        </a:p>
      </xdr:txBody>
    </xdr:sp>
    <xdr:clientData/>
  </xdr:oneCellAnchor>
  <xdr:oneCellAnchor>
    <xdr:from>
      <xdr:col>17</xdr:col>
      <xdr:colOff>190500</xdr:colOff>
      <xdr:row>4</xdr:row>
      <xdr:rowOff>19050</xdr:rowOff>
    </xdr:from>
    <xdr:ext cx="1087755" cy="831215"/>
    <xdr:sp>
      <xdr:nvSpPr>
        <xdr:cNvPr id="23" name="Text Box 22"/>
        <xdr:cNvSpPr txBox="1"/>
      </xdr:nvSpPr>
      <xdr:spPr>
        <a:xfrm>
          <a:off x="10553700" y="755650"/>
          <a:ext cx="1087755" cy="8312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CASES</a:t>
          </a:r>
          <a:endParaRPr lang="en-US" sz="7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700" b="1">
            <a:solidFill>
              <a:srgbClr val="FF0000"/>
            </a:solidFill>
          </a:endParaRPr>
        </a:p>
        <a:p>
          <a:pPr algn="l"/>
          <a:r>
            <a:rPr lang="en-US" sz="1700" b="1">
              <a:solidFill>
                <a:srgbClr val="FF0000"/>
              </a:solidFill>
            </a:rPr>
            <a:t>63,855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twoCellAnchor>
    <xdr:from>
      <xdr:col>18</xdr:col>
      <xdr:colOff>438785</xdr:colOff>
      <xdr:row>4</xdr:row>
      <xdr:rowOff>57150</xdr:rowOff>
    </xdr:from>
    <xdr:to>
      <xdr:col>20</xdr:col>
      <xdr:colOff>349250</xdr:colOff>
      <xdr:row>7</xdr:row>
      <xdr:rowOff>178435</xdr:rowOff>
    </xdr:to>
    <xdr:sp>
      <xdr:nvSpPr>
        <xdr:cNvPr id="24" name="Text Box 23"/>
        <xdr:cNvSpPr txBox="1"/>
      </xdr:nvSpPr>
      <xdr:spPr>
        <a:xfrm>
          <a:off x="11411585" y="793750"/>
          <a:ext cx="1129665" cy="6737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RECOVERED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  50,882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100" b="1"/>
            <a:t> </a:t>
          </a:r>
          <a:endParaRPr lang="en-US" sz="1100" b="1"/>
        </a:p>
      </xdr:txBody>
    </xdr:sp>
    <xdr:clientData/>
  </xdr:twoCellAnchor>
  <xdr:oneCellAnchor>
    <xdr:from>
      <xdr:col>20</xdr:col>
      <xdr:colOff>178435</xdr:colOff>
      <xdr:row>4</xdr:row>
      <xdr:rowOff>76835</xdr:rowOff>
    </xdr:from>
    <xdr:ext cx="926465" cy="749300"/>
    <xdr:sp>
      <xdr:nvSpPr>
        <xdr:cNvPr id="25" name="Text Box 24"/>
        <xdr:cNvSpPr txBox="1"/>
      </xdr:nvSpPr>
      <xdr:spPr>
        <a:xfrm>
          <a:off x="12370435" y="813435"/>
          <a:ext cx="926465" cy="74930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DEATHS 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  1,430</a:t>
          </a:r>
          <a:endParaRPr lang="en-US" sz="1700" b="1">
            <a:solidFill>
              <a:srgbClr val="FF0000"/>
            </a:solidFill>
          </a:endParaRPr>
        </a:p>
        <a:p>
          <a:pPr algn="l"/>
          <a:endParaRPr lang="en-US" sz="1700" b="1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387985</xdr:colOff>
      <xdr:row>8</xdr:row>
      <xdr:rowOff>76200</xdr:rowOff>
    </xdr:from>
    <xdr:to>
      <xdr:col>12</xdr:col>
      <xdr:colOff>431800</xdr:colOff>
      <xdr:row>24</xdr:row>
      <xdr:rowOff>19685</xdr:rowOff>
    </xdr:to>
    <xdr:graphicFrame>
      <xdr:nvGraphicFramePr>
        <xdr:cNvPr id="26" name="Chart 25"/>
        <xdr:cNvGraphicFramePr/>
      </xdr:nvGraphicFramePr>
      <xdr:xfrm>
        <a:off x="2826385" y="1549400"/>
        <a:ext cx="4920615" cy="2889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356235</xdr:colOff>
      <xdr:row>24</xdr:row>
      <xdr:rowOff>165735</xdr:rowOff>
    </xdr:from>
    <xdr:to>
      <xdr:col>12</xdr:col>
      <xdr:colOff>457200</xdr:colOff>
      <xdr:row>39</xdr:row>
      <xdr:rowOff>183515</xdr:rowOff>
    </xdr:to>
    <xdr:graphicFrame>
      <xdr:nvGraphicFramePr>
        <xdr:cNvPr id="27" name="Chart 26"/>
        <xdr:cNvGraphicFramePr/>
      </xdr:nvGraphicFramePr>
      <xdr:xfrm>
        <a:off x="2794635" y="4585335"/>
        <a:ext cx="4977765" cy="2780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191135</xdr:colOff>
      <xdr:row>8</xdr:row>
      <xdr:rowOff>108585</xdr:rowOff>
    </xdr:from>
    <xdr:to>
      <xdr:col>22</xdr:col>
      <xdr:colOff>286385</xdr:colOff>
      <xdr:row>24</xdr:row>
      <xdr:rowOff>5715</xdr:rowOff>
    </xdr:to>
    <xdr:graphicFrame>
      <xdr:nvGraphicFramePr>
        <xdr:cNvPr id="28" name="Chart 27"/>
        <xdr:cNvGraphicFramePr/>
      </xdr:nvGraphicFramePr>
      <xdr:xfrm>
        <a:off x="8115935" y="1581785"/>
        <a:ext cx="5581650" cy="2843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217805</xdr:colOff>
      <xdr:row>24</xdr:row>
      <xdr:rowOff>159385</xdr:rowOff>
    </xdr:from>
    <xdr:to>
      <xdr:col>22</xdr:col>
      <xdr:colOff>286385</xdr:colOff>
      <xdr:row>39</xdr:row>
      <xdr:rowOff>177165</xdr:rowOff>
    </xdr:to>
    <xdr:graphicFrame>
      <xdr:nvGraphicFramePr>
        <xdr:cNvPr id="29" name="Chart 28"/>
        <xdr:cNvGraphicFramePr/>
      </xdr:nvGraphicFramePr>
      <xdr:xfrm>
        <a:off x="8142605" y="4578985"/>
        <a:ext cx="5554980" cy="2780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25400</xdr:colOff>
      <xdr:row>40</xdr:row>
      <xdr:rowOff>76200</xdr:rowOff>
    </xdr:from>
    <xdr:to>
      <xdr:col>12</xdr:col>
      <xdr:colOff>508000</xdr:colOff>
      <xdr:row>44</xdr:row>
      <xdr:rowOff>12700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ountry,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,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00" y="7442200"/>
              <a:ext cx="7188200" cy="673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177800</xdr:colOff>
      <xdr:row>40</xdr:row>
      <xdr:rowOff>69850</xdr:rowOff>
    </xdr:from>
    <xdr:to>
      <xdr:col>22</xdr:col>
      <xdr:colOff>336550</xdr:colOff>
      <xdr:row>44</xdr:row>
      <xdr:rowOff>19685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Country,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,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02600" y="7435850"/>
              <a:ext cx="5645150" cy="686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oneCellAnchor>
    <xdr:from>
      <xdr:col>23</xdr:col>
      <xdr:colOff>6350</xdr:colOff>
      <xdr:row>2</xdr:row>
      <xdr:rowOff>133350</xdr:rowOff>
    </xdr:from>
    <xdr:ext cx="5669915" cy="3943985"/>
    <xdr:sp>
      <xdr:nvSpPr>
        <xdr:cNvPr id="22" name="Text Box 21"/>
        <xdr:cNvSpPr txBox="1"/>
      </xdr:nvSpPr>
      <xdr:spPr>
        <a:xfrm>
          <a:off x="14027150" y="501650"/>
          <a:ext cx="5669915" cy="394398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en-US" sz="25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       KEY INSIGHTS </a:t>
          </a:r>
          <a:endParaRPr lang="en-US" sz="25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5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HIGHEST CASES ;</a:t>
          </a:r>
          <a:endParaRPr lang="en-US" sz="25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 Recovery Rate is strong overall (mostly above 94–97%), showing good treatment outcomes where cases are high.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High testing volume in these countries likely contributed to higher reported cases.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These countries account for the vast majority of Africa’s total recorded cases (9.17M), deaths (199K), and tests (65M).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5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LOWEST CASES;</a:t>
          </a:r>
          <a:endParaRPr lang="en-US" sz="25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 Despite low cases, some countries still show concerning mortality percentages relative to their small case count.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Very low mortality rates in most of these nations, with some showing near-perfect recovery rates.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22</xdr:col>
      <xdr:colOff>603885</xdr:colOff>
      <xdr:row>25</xdr:row>
      <xdr:rowOff>6350</xdr:rowOff>
    </xdr:from>
    <xdr:to>
      <xdr:col>32</xdr:col>
      <xdr:colOff>133350</xdr:colOff>
      <xdr:row>43</xdr:row>
      <xdr:rowOff>183515</xdr:rowOff>
    </xdr:to>
    <xdr:sp>
      <xdr:nvSpPr>
        <xdr:cNvPr id="30" name="Text Box 29"/>
        <xdr:cNvSpPr txBox="1"/>
      </xdr:nvSpPr>
      <xdr:spPr>
        <a:xfrm>
          <a:off x="14015085" y="4610100"/>
          <a:ext cx="5625465" cy="3491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25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  RECOMMENDATION</a:t>
          </a:r>
          <a:endParaRPr lang="en-US" sz="25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1. Strengthen surveillance and early detection systems ,these countries should lead continental efforts.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2. Invest in healthcare capacity (ICU beds, oxygen supply) to manage future waves, especially in high-density areas.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3. Scale up testing capacity immediately ,low reported cases may hide the true picture.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4. Focus on preventive measures and community education to maintain low transmission.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5. Leverage regional collaboration: High-burden countries can support these nations with testing kits, vaccines, and training.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400" b="1">
              <a:ln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6. Promote public health campaigns focused on vaccination and booster doses for vulnerable groups.</a:t>
          </a:r>
          <a:endParaRPr lang="en-US" sz="1400" b="1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351155</xdr:colOff>
      <xdr:row>8</xdr:row>
      <xdr:rowOff>108585</xdr:rowOff>
    </xdr:from>
    <xdr:to>
      <xdr:col>33</xdr:col>
      <xdr:colOff>549910</xdr:colOff>
      <xdr:row>43</xdr:row>
      <xdr:rowOff>76200</xdr:rowOff>
    </xdr:to>
    <xdr:sp>
      <xdr:nvSpPr>
        <xdr:cNvPr id="2" name="Freeform 1"/>
        <xdr:cNvSpPr/>
      </xdr:nvSpPr>
      <xdr:spPr>
        <a:xfrm>
          <a:off x="960755" y="1581785"/>
          <a:ext cx="19705955" cy="6412865"/>
        </a:xfrm>
        <a:custGeom>
          <a:avLst/>
          <a:gdLst>
            <a:gd name="connsiteX0" fmla="*/ 0 w 31033"/>
            <a:gd name="connsiteY0" fmla="*/ 1534 h 9980"/>
            <a:gd name="connsiteX1" fmla="*/ 1697 w 31033"/>
            <a:gd name="connsiteY1" fmla="*/ 130 h 9980"/>
            <a:gd name="connsiteX2" fmla="*/ 20017 w 31033"/>
            <a:gd name="connsiteY2" fmla="*/ 0 h 9980"/>
            <a:gd name="connsiteX3" fmla="*/ 29377 w 31033"/>
            <a:gd name="connsiteY3" fmla="*/ 30 h 9980"/>
            <a:gd name="connsiteX4" fmla="*/ 31033 w 31033"/>
            <a:gd name="connsiteY4" fmla="*/ 1534 h 9980"/>
            <a:gd name="connsiteX5" fmla="*/ 31033 w 31033"/>
            <a:gd name="connsiteY5" fmla="*/ 8824 h 9980"/>
            <a:gd name="connsiteX6" fmla="*/ 29747 w 31033"/>
            <a:gd name="connsiteY6" fmla="*/ 9920 h 9980"/>
            <a:gd name="connsiteX7" fmla="*/ 1497 w 31033"/>
            <a:gd name="connsiteY7" fmla="*/ 9980 h 9980"/>
            <a:gd name="connsiteX8" fmla="*/ 0 w 31033"/>
            <a:gd name="connsiteY8" fmla="*/ 8824 h 9980"/>
            <a:gd name="connsiteX9" fmla="*/ 0 w 31033"/>
            <a:gd name="connsiteY9" fmla="*/ 1534 h 9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31033" h="9980">
              <a:moveTo>
                <a:pt x="0" y="1534"/>
              </a:moveTo>
              <a:cubicBezTo>
                <a:pt x="0" y="528"/>
                <a:pt x="691" y="130"/>
                <a:pt x="1697" y="130"/>
              </a:cubicBezTo>
              <a:lnTo>
                <a:pt x="20017" y="0"/>
              </a:lnTo>
              <a:lnTo>
                <a:pt x="29377" y="30"/>
              </a:lnTo>
              <a:cubicBezTo>
                <a:pt x="30383" y="30"/>
                <a:pt x="31033" y="528"/>
                <a:pt x="31033" y="1534"/>
              </a:cubicBezTo>
              <a:lnTo>
                <a:pt x="31033" y="8824"/>
              </a:lnTo>
              <a:cubicBezTo>
                <a:pt x="31033" y="9830"/>
                <a:pt x="30753" y="9920"/>
                <a:pt x="29747" y="9920"/>
              </a:cubicBezTo>
              <a:cubicBezTo>
                <a:pt x="20337" y="9913"/>
                <a:pt x="10867" y="9950"/>
                <a:pt x="1497" y="9980"/>
              </a:cubicBezTo>
              <a:cubicBezTo>
                <a:pt x="491" y="9980"/>
                <a:pt x="0" y="9830"/>
                <a:pt x="0" y="8824"/>
              </a:cubicBezTo>
              <a:lnTo>
                <a:pt x="0" y="1534"/>
              </a:lnTo>
              <a:close/>
            </a:path>
          </a:pathLst>
        </a:cu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lvl="8" indent="457200" algn="l"/>
          <a:r>
            <a:rPr lang="en-US" sz="2000" b="1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                 		 		                  </a:t>
          </a:r>
          <a:r>
            <a:rPr lang="en-US" sz="2800" b="1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AFRICA COVID-19 DASHBOARD</a:t>
          </a:r>
          <a:r>
            <a:rPr lang="en-US" sz="2000" b="1">
              <a:ln w="12700" cmpd="sng">
                <a:solidFill>
                  <a:schemeClr val="accent4"/>
                </a:solidFill>
                <a:prstDash val="solid"/>
              </a:ln>
              <a:gradFill>
                <a:gsLst>
                  <a:gs pos="0">
                    <a:schemeClr val="accent4"/>
                  </a:gs>
                  <a:gs pos="4000">
                    <a:schemeClr val="accent4">
                      <a:lumMod val="60000"/>
                      <a:lumOff val="40000"/>
                    </a:schemeClr>
                  </a:gs>
                  <a:gs pos="87000">
                    <a:schemeClr val="accent4">
                      <a:lumMod val="20000"/>
                      <a:lumOff val="80000"/>
                    </a:schemeClr>
                  </a:gs>
                </a:gsLst>
                <a:lin ang="5400000"/>
              </a:gradFill>
              <a:effectLst/>
            </a:rPr>
            <a:t> </a:t>
          </a:r>
          <a:endParaRPr lang="en-US" sz="2000" b="1">
            <a:ln w="12700" cmpd="sng">
              <a:solidFill>
                <a:schemeClr val="accent4"/>
              </a:solidFill>
              <a:prstDash val="solid"/>
            </a:ln>
            <a:gradFill>
              <a:gsLst>
                <a:gs pos="0">
                  <a:schemeClr val="accent4"/>
                </a:gs>
                <a:gs pos="4000">
                  <a:schemeClr val="accent4">
                    <a:lumMod val="60000"/>
                    <a:lumOff val="40000"/>
                  </a:schemeClr>
                </a:gs>
                <a:gs pos="87000">
                  <a:schemeClr val="accent4">
                    <a:lumMod val="20000"/>
                    <a:lumOff val="8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twoCellAnchor>
  <xdr:oneCellAnchor>
    <xdr:from>
      <xdr:col>2</xdr:col>
      <xdr:colOff>64770</xdr:colOff>
      <xdr:row>10</xdr:row>
      <xdr:rowOff>134620</xdr:rowOff>
    </xdr:from>
    <xdr:ext cx="4614545" cy="922020"/>
    <xdr:sp>
      <xdr:nvSpPr>
        <xdr:cNvPr id="3" name="Text Box 2"/>
        <xdr:cNvSpPr txBox="1"/>
      </xdr:nvSpPr>
      <xdr:spPr>
        <a:xfrm>
          <a:off x="1283970" y="1976120"/>
          <a:ext cx="4614545" cy="92202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TOP 10 COUNTRIES WITH THE HIGHEST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CASES  IN AFRICA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19</xdr:col>
      <xdr:colOff>363220</xdr:colOff>
      <xdr:row>10</xdr:row>
      <xdr:rowOff>172720</xdr:rowOff>
    </xdr:from>
    <xdr:ext cx="3615055" cy="989965"/>
    <xdr:sp>
      <xdr:nvSpPr>
        <xdr:cNvPr id="4" name="Text Box 3"/>
        <xdr:cNvSpPr txBox="1"/>
      </xdr:nvSpPr>
      <xdr:spPr>
        <a:xfrm>
          <a:off x="11945620" y="2014220"/>
          <a:ext cx="3615055" cy="98996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2000" b="1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TOP 10 COUNTRIES WITH THE</a:t>
          </a:r>
          <a:endParaRPr lang="en-US" sz="2000" b="1"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2000" b="1"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LOWEST CASES IN AFRICA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/>
        </a:p>
      </xdr:txBody>
    </xdr:sp>
    <xdr:clientData/>
  </xdr:oneCellAnchor>
  <xdr:twoCellAnchor>
    <xdr:from>
      <xdr:col>19</xdr:col>
      <xdr:colOff>234950</xdr:colOff>
      <xdr:row>11</xdr:row>
      <xdr:rowOff>25400</xdr:rowOff>
    </xdr:from>
    <xdr:to>
      <xdr:col>19</xdr:col>
      <xdr:colOff>298450</xdr:colOff>
      <xdr:row>42</xdr:row>
      <xdr:rowOff>88900</xdr:rowOff>
    </xdr:to>
    <xdr:cxnSp>
      <xdr:nvCxnSpPr>
        <xdr:cNvPr id="5" name="Straight Connector 4"/>
        <xdr:cNvCxnSpPr/>
      </xdr:nvCxnSpPr>
      <xdr:spPr>
        <a:xfrm>
          <a:off x="11817350" y="2051050"/>
          <a:ext cx="63500" cy="5772150"/>
        </a:xfrm>
        <a:prstGeom prst="line">
          <a:avLst/>
        </a:prstGeom>
        <a:ln w="31750">
          <a:gradFill>
            <a:gsLst>
              <a:gs pos="0">
                <a:prstClr val="black">
                  <a:hueOff val="-4200000"/>
                </a:prstClr>
              </a:gs>
              <a:gs pos="100000">
                <a:prstClr val="black"/>
              </a:gs>
            </a:gsLst>
          </a:gradFill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508000</xdr:colOff>
      <xdr:row>11</xdr:row>
      <xdr:rowOff>20320</xdr:rowOff>
    </xdr:from>
    <xdr:to>
      <xdr:col>19</xdr:col>
      <xdr:colOff>192405</xdr:colOff>
      <xdr:row>15</xdr:row>
      <xdr:rowOff>94615</xdr:rowOff>
    </xdr:to>
    <xdr:sp>
      <xdr:nvSpPr>
        <xdr:cNvPr id="6" name="Rounded Rectangle 5"/>
        <xdr:cNvSpPr/>
      </xdr:nvSpPr>
      <xdr:spPr>
        <a:xfrm>
          <a:off x="5994400" y="2045970"/>
          <a:ext cx="5780405" cy="81089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25</xdr:col>
      <xdr:colOff>312420</xdr:colOff>
      <xdr:row>10</xdr:row>
      <xdr:rowOff>179070</xdr:rowOff>
    </xdr:from>
    <xdr:to>
      <xdr:col>33</xdr:col>
      <xdr:colOff>370840</xdr:colOff>
      <xdr:row>15</xdr:row>
      <xdr:rowOff>107315</xdr:rowOff>
    </xdr:to>
    <xdr:sp>
      <xdr:nvSpPr>
        <xdr:cNvPr id="7" name="Rounded Rectangle 6"/>
        <xdr:cNvSpPr/>
      </xdr:nvSpPr>
      <xdr:spPr>
        <a:xfrm>
          <a:off x="15552420" y="2020570"/>
          <a:ext cx="4935220" cy="84899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9</xdr:col>
      <xdr:colOff>579120</xdr:colOff>
      <xdr:row>11</xdr:row>
      <xdr:rowOff>33020</xdr:rowOff>
    </xdr:from>
    <xdr:ext cx="1587500" cy="827405"/>
    <xdr:sp>
      <xdr:nvSpPr>
        <xdr:cNvPr id="8" name="Text Box 7"/>
        <xdr:cNvSpPr txBox="1"/>
      </xdr:nvSpPr>
      <xdr:spPr>
        <a:xfrm>
          <a:off x="6065520" y="2058670"/>
          <a:ext cx="1587500" cy="827405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 anchorCtr="0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POPULATION</a:t>
          </a:r>
          <a:endParaRPr lang="en-US" sz="7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400" b="1"/>
        </a:p>
        <a:p>
          <a:pPr algn="l"/>
          <a:r>
            <a:rPr lang="en-US" sz="1700" b="1">
              <a:solidFill>
                <a:srgbClr val="FF0000"/>
              </a:solidFill>
            </a:rPr>
            <a:t>423,184,172</a:t>
          </a:r>
          <a:endParaRPr lang="en-US" sz="1100"/>
        </a:p>
        <a:p>
          <a:pPr algn="l"/>
          <a:endParaRPr lang="en-US" sz="1100"/>
        </a:p>
      </xdr:txBody>
    </xdr:sp>
    <xdr:clientData/>
  </xdr:oneCellAnchor>
  <xdr:oneCellAnchor>
    <xdr:from>
      <xdr:col>11</xdr:col>
      <xdr:colOff>579120</xdr:colOff>
      <xdr:row>11</xdr:row>
      <xdr:rowOff>40005</xdr:rowOff>
    </xdr:from>
    <xdr:ext cx="1236345" cy="853440"/>
    <xdr:sp>
      <xdr:nvSpPr>
        <xdr:cNvPr id="9" name="Text Box 8"/>
        <xdr:cNvSpPr txBox="1"/>
      </xdr:nvSpPr>
      <xdr:spPr>
        <a:xfrm>
          <a:off x="7284720" y="2065655"/>
          <a:ext cx="1236345" cy="85344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/>
            <a:t>             </a:t>
          </a:r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TEST</a:t>
          </a:r>
          <a:endParaRPr lang="en-US" sz="900" b="1"/>
        </a:p>
        <a:p>
          <a:pPr algn="l"/>
          <a:endParaRPr lang="en-US" sz="1100"/>
        </a:p>
        <a:p>
          <a:pPr algn="l"/>
          <a:r>
            <a:rPr lang="en-US" sz="1700" b="1">
              <a:solidFill>
                <a:srgbClr val="FF0000"/>
              </a:solidFill>
            </a:rPr>
            <a:t>64,128,211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490220</xdr:colOff>
      <xdr:row>11</xdr:row>
      <xdr:rowOff>33020</xdr:rowOff>
    </xdr:from>
    <xdr:ext cx="1200150" cy="843280"/>
    <xdr:sp>
      <xdr:nvSpPr>
        <xdr:cNvPr id="10" name="Text Box 9"/>
        <xdr:cNvSpPr txBox="1"/>
      </xdr:nvSpPr>
      <xdr:spPr>
        <a:xfrm>
          <a:off x="8415020" y="2058670"/>
          <a:ext cx="1200150" cy="84328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1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</a:t>
          </a:r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CASES</a:t>
          </a:r>
          <a:endParaRPr lang="en-US" sz="11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9,108,365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312420</xdr:colOff>
      <xdr:row>11</xdr:row>
      <xdr:rowOff>1270</xdr:rowOff>
    </xdr:from>
    <xdr:ext cx="1273175" cy="802005"/>
    <xdr:sp>
      <xdr:nvSpPr>
        <xdr:cNvPr id="11" name="Text Box 10"/>
        <xdr:cNvSpPr txBox="1"/>
      </xdr:nvSpPr>
      <xdr:spPr>
        <a:xfrm>
          <a:off x="9456420" y="2026920"/>
          <a:ext cx="1273175" cy="802005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RECOVERED </a:t>
          </a:r>
          <a:endParaRPr lang="en-US" sz="900" b="1"/>
        </a:p>
        <a:p>
          <a:pPr algn="l"/>
          <a:endParaRPr lang="en-US" sz="1700" b="1"/>
        </a:p>
        <a:p>
          <a:pPr algn="l"/>
          <a:r>
            <a:rPr lang="en-US" sz="1700" b="1">
              <a:solidFill>
                <a:srgbClr val="FF0000"/>
              </a:solidFill>
            </a:rPr>
            <a:t>8,802,192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210820</xdr:colOff>
      <xdr:row>11</xdr:row>
      <xdr:rowOff>52070</xdr:rowOff>
    </xdr:from>
    <xdr:ext cx="1129665" cy="787400"/>
    <xdr:sp>
      <xdr:nvSpPr>
        <xdr:cNvPr id="12" name="Text Box 11"/>
        <xdr:cNvSpPr txBox="1"/>
      </xdr:nvSpPr>
      <xdr:spPr>
        <a:xfrm>
          <a:off x="10574020" y="2077720"/>
          <a:ext cx="1129665" cy="78740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    </a:t>
          </a:r>
          <a:r>
            <a:rPr lang="en-US" sz="9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DEATHS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  198,085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25</xdr:col>
      <xdr:colOff>440055</xdr:colOff>
      <xdr:row>11</xdr:row>
      <xdr:rowOff>39370</xdr:rowOff>
    </xdr:from>
    <xdr:ext cx="1079500" cy="825500"/>
    <xdr:sp>
      <xdr:nvSpPr>
        <xdr:cNvPr id="13" name="Text Box 12"/>
        <xdr:cNvSpPr txBox="1"/>
      </xdr:nvSpPr>
      <xdr:spPr>
        <a:xfrm>
          <a:off x="15680055" y="2065020"/>
          <a:ext cx="1079500" cy="82550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POPULATION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600" b="1">
              <a:solidFill>
                <a:srgbClr val="FF0000"/>
              </a:solidFill>
            </a:rPr>
            <a:t>64,331,709</a:t>
          </a:r>
          <a:endParaRPr lang="en-US" sz="1100" b="1"/>
        </a:p>
        <a:p>
          <a:pPr algn="l"/>
          <a:endParaRPr lang="en-US" sz="1100" b="1"/>
        </a:p>
      </xdr:txBody>
    </xdr:sp>
    <xdr:clientData/>
  </xdr:oneCellAnchor>
  <xdr:oneCellAnchor>
    <xdr:from>
      <xdr:col>27</xdr:col>
      <xdr:colOff>319405</xdr:colOff>
      <xdr:row>11</xdr:row>
      <xdr:rowOff>45720</xdr:rowOff>
    </xdr:from>
    <xdr:ext cx="1002665" cy="813435"/>
    <xdr:sp>
      <xdr:nvSpPr>
        <xdr:cNvPr id="14" name="Text Box 13"/>
        <xdr:cNvSpPr txBox="1"/>
      </xdr:nvSpPr>
      <xdr:spPr>
        <a:xfrm>
          <a:off x="16778605" y="2071370"/>
          <a:ext cx="1002665" cy="813435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TEST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1,039,971</a:t>
          </a:r>
          <a:endParaRPr lang="en-US" sz="1100" b="1"/>
        </a:p>
        <a:p>
          <a:pPr algn="l"/>
          <a:endParaRPr lang="en-US" sz="1100" b="1"/>
        </a:p>
      </xdr:txBody>
    </xdr:sp>
    <xdr:clientData/>
  </xdr:oneCellAnchor>
  <xdr:oneCellAnchor>
    <xdr:from>
      <xdr:col>29</xdr:col>
      <xdr:colOff>103505</xdr:colOff>
      <xdr:row>10</xdr:row>
      <xdr:rowOff>179705</xdr:rowOff>
    </xdr:from>
    <xdr:ext cx="1087755" cy="855980"/>
    <xdr:sp>
      <xdr:nvSpPr>
        <xdr:cNvPr id="15" name="Text Box 14"/>
        <xdr:cNvSpPr txBox="1"/>
      </xdr:nvSpPr>
      <xdr:spPr>
        <a:xfrm>
          <a:off x="17781905" y="2021205"/>
          <a:ext cx="1087755" cy="8559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CASES</a:t>
          </a:r>
          <a:endParaRPr lang="en-US" sz="7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1700" b="1">
            <a:solidFill>
              <a:srgbClr val="FF0000"/>
            </a:solidFill>
          </a:endParaRPr>
        </a:p>
        <a:p>
          <a:pPr algn="l"/>
          <a:r>
            <a:rPr lang="en-US" sz="1700" b="1">
              <a:solidFill>
                <a:srgbClr val="FF0000"/>
              </a:solidFill>
            </a:rPr>
            <a:t>63,855</a:t>
          </a:r>
          <a:endParaRPr lang="en-US" sz="1700" b="1">
            <a:solidFill>
              <a:srgbClr val="FF0000"/>
            </a:solidFill>
          </a:endParaRPr>
        </a:p>
      </xdr:txBody>
    </xdr:sp>
    <xdr:clientData/>
  </xdr:oneCellAnchor>
  <xdr:oneCellAnchor>
    <xdr:from>
      <xdr:col>31</xdr:col>
      <xdr:colOff>453390</xdr:colOff>
      <xdr:row>11</xdr:row>
      <xdr:rowOff>13970</xdr:rowOff>
    </xdr:from>
    <xdr:ext cx="1077595" cy="800100"/>
    <xdr:sp>
      <xdr:nvSpPr>
        <xdr:cNvPr id="16" name="Text Box 15"/>
        <xdr:cNvSpPr txBox="1"/>
      </xdr:nvSpPr>
      <xdr:spPr>
        <a:xfrm>
          <a:off x="19350990" y="2039620"/>
          <a:ext cx="1077595" cy="800100"/>
        </a:xfrm>
        <a:prstGeom prst="rect">
          <a:avLst/>
        </a:prstGeom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DEATHS 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  1,430</a:t>
          </a:r>
          <a:endParaRPr lang="en-US" sz="1700" b="1">
            <a:solidFill>
              <a:srgbClr val="FF0000"/>
            </a:solidFill>
          </a:endParaRPr>
        </a:p>
        <a:p>
          <a:pPr algn="l"/>
          <a:endParaRPr lang="en-US" sz="1700" b="1">
            <a:solidFill>
              <a:srgbClr val="FF0000"/>
            </a:solidFill>
          </a:endParaRPr>
        </a:p>
      </xdr:txBody>
    </xdr:sp>
    <xdr:clientData/>
  </xdr:oneCellAnchor>
  <xdr:twoCellAnchor>
    <xdr:from>
      <xdr:col>30</xdr:col>
      <xdr:colOff>224155</xdr:colOff>
      <xdr:row>11</xdr:row>
      <xdr:rowOff>26670</xdr:rowOff>
    </xdr:from>
    <xdr:to>
      <xdr:col>32</xdr:col>
      <xdr:colOff>1270</xdr:colOff>
      <xdr:row>15</xdr:row>
      <xdr:rowOff>84455</xdr:rowOff>
    </xdr:to>
    <xdr:sp>
      <xdr:nvSpPr>
        <xdr:cNvPr id="17" name="Text Box 16"/>
        <xdr:cNvSpPr txBox="1"/>
      </xdr:nvSpPr>
      <xdr:spPr>
        <a:xfrm>
          <a:off x="18512155" y="2052320"/>
          <a:ext cx="996315" cy="79438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/>
            <a:t>          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RECOVERED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700" b="1">
              <a:solidFill>
                <a:srgbClr val="FF0000"/>
              </a:solidFill>
            </a:rPr>
            <a:t>  50,882</a:t>
          </a:r>
          <a:endParaRPr lang="en-US" sz="1100" b="1"/>
        </a:p>
        <a:p>
          <a:pPr algn="l"/>
          <a:endParaRPr lang="en-US" sz="1100" b="1"/>
        </a:p>
        <a:p>
          <a:pPr algn="l"/>
          <a:r>
            <a:rPr lang="en-US" sz="1100" b="1"/>
            <a:t> </a:t>
          </a:r>
          <a:endParaRPr lang="en-US" sz="1100" b="1"/>
        </a:p>
      </xdr:txBody>
    </xdr:sp>
    <xdr:clientData/>
  </xdr:twoCellAnchor>
  <xdr:twoCellAnchor>
    <xdr:from>
      <xdr:col>1</xdr:col>
      <xdr:colOff>592455</xdr:colOff>
      <xdr:row>15</xdr:row>
      <xdr:rowOff>160020</xdr:rowOff>
    </xdr:from>
    <xdr:to>
      <xdr:col>5</xdr:col>
      <xdr:colOff>146685</xdr:colOff>
      <xdr:row>42</xdr:row>
      <xdr:rowOff>109855</xdr:rowOff>
    </xdr:to>
    <xdr:sp>
      <xdr:nvSpPr>
        <xdr:cNvPr id="18" name="Frame 17"/>
        <xdr:cNvSpPr/>
      </xdr:nvSpPr>
      <xdr:spPr>
        <a:xfrm>
          <a:off x="1202055" y="2922270"/>
          <a:ext cx="1992630" cy="4921885"/>
        </a:xfrm>
        <a:prstGeom prst="fram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TOTAL POPULATION </a:t>
          </a:r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</a:t>
          </a:r>
          <a:r>
            <a:rPr lang="en-US" sz="2000" b="1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487,515,881</a:t>
          </a:r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TOTAL TEST</a:t>
          </a:r>
          <a:endParaRPr lang="en-US" sz="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ln>
                <a:noFill/>
              </a:ln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65,168,182 </a:t>
          </a:r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endParaRPr lang="en-US" sz="2000" b="1">
            <a:ln>
              <a:noFill/>
            </a:ln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TOTAL CASES</a:t>
          </a:r>
          <a:endParaRPr lang="en-US" sz="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 b="1"/>
            <a:t> </a:t>
          </a:r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9,172,220 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TOTAL RECOVERED</a:t>
          </a:r>
          <a:endParaRPr lang="en-US" sz="9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8,853,074 </a:t>
          </a:r>
          <a:endParaRPr lang="en-US" sz="20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  <a:p>
          <a:pPr algn="l"/>
          <a:r>
            <a:rPr lang="en-US" sz="7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TOTAL DEATH</a:t>
          </a:r>
          <a:endParaRPr lang="en-US" sz="11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r>
            <a:rPr lang="en-US" sz="20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199,515 </a:t>
          </a:r>
          <a:endParaRPr lang="en-US" sz="1100"/>
        </a:p>
        <a:p>
          <a:pPr algn="l"/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5</xdr:col>
      <xdr:colOff>267335</xdr:colOff>
      <xdr:row>15</xdr:row>
      <xdr:rowOff>172085</xdr:rowOff>
    </xdr:from>
    <xdr:to>
      <xdr:col>12</xdr:col>
      <xdr:colOff>132715</xdr:colOff>
      <xdr:row>28</xdr:row>
      <xdr:rowOff>109220</xdr:rowOff>
    </xdr:to>
    <xdr:sp>
      <xdr:nvSpPr>
        <xdr:cNvPr id="19" name="Rectangle 18"/>
        <xdr:cNvSpPr/>
      </xdr:nvSpPr>
      <xdr:spPr>
        <a:xfrm>
          <a:off x="3315335" y="2934335"/>
          <a:ext cx="4132580" cy="23310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248920</xdr:colOff>
      <xdr:row>15</xdr:row>
      <xdr:rowOff>172085</xdr:rowOff>
    </xdr:from>
    <xdr:to>
      <xdr:col>19</xdr:col>
      <xdr:colOff>171450</xdr:colOff>
      <xdr:row>28</xdr:row>
      <xdr:rowOff>115570</xdr:rowOff>
    </xdr:to>
    <xdr:sp>
      <xdr:nvSpPr>
        <xdr:cNvPr id="21" name="Rectangle 20"/>
        <xdr:cNvSpPr/>
      </xdr:nvSpPr>
      <xdr:spPr>
        <a:xfrm>
          <a:off x="7564120" y="2934335"/>
          <a:ext cx="4189730" cy="23374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267335</xdr:colOff>
      <xdr:row>15</xdr:row>
      <xdr:rowOff>172085</xdr:rowOff>
    </xdr:from>
    <xdr:to>
      <xdr:col>11</xdr:col>
      <xdr:colOff>571500</xdr:colOff>
      <xdr:row>28</xdr:row>
      <xdr:rowOff>107950</xdr:rowOff>
    </xdr:to>
    <xdr:sp>
      <xdr:nvSpPr>
        <xdr:cNvPr id="22" name="Rectangle 21"/>
        <xdr:cNvSpPr/>
      </xdr:nvSpPr>
      <xdr:spPr>
        <a:xfrm>
          <a:off x="3315335" y="2934335"/>
          <a:ext cx="3961765" cy="23298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280035</xdr:colOff>
      <xdr:row>29</xdr:row>
      <xdr:rowOff>38735</xdr:rowOff>
    </xdr:from>
    <xdr:to>
      <xdr:col>12</xdr:col>
      <xdr:colOff>145415</xdr:colOff>
      <xdr:row>42</xdr:row>
      <xdr:rowOff>12700</xdr:rowOff>
    </xdr:to>
    <xdr:sp>
      <xdr:nvSpPr>
        <xdr:cNvPr id="23" name="Rectangle 22"/>
        <xdr:cNvSpPr/>
      </xdr:nvSpPr>
      <xdr:spPr>
        <a:xfrm>
          <a:off x="3328035" y="5379085"/>
          <a:ext cx="4132580" cy="23679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261620</xdr:colOff>
      <xdr:row>29</xdr:row>
      <xdr:rowOff>38735</xdr:rowOff>
    </xdr:from>
    <xdr:to>
      <xdr:col>19</xdr:col>
      <xdr:colOff>184150</xdr:colOff>
      <xdr:row>42</xdr:row>
      <xdr:rowOff>50800</xdr:rowOff>
    </xdr:to>
    <xdr:sp>
      <xdr:nvSpPr>
        <xdr:cNvPr id="24" name="Rectangle 23"/>
        <xdr:cNvSpPr/>
      </xdr:nvSpPr>
      <xdr:spPr>
        <a:xfrm>
          <a:off x="7576820" y="5379085"/>
          <a:ext cx="4189730" cy="24060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19</xdr:col>
      <xdr:colOff>388620</xdr:colOff>
      <xdr:row>15</xdr:row>
      <xdr:rowOff>172085</xdr:rowOff>
    </xdr:from>
    <xdr:to>
      <xdr:col>26</xdr:col>
      <xdr:colOff>311150</xdr:colOff>
      <xdr:row>28</xdr:row>
      <xdr:rowOff>89535</xdr:rowOff>
    </xdr:to>
    <xdr:sp>
      <xdr:nvSpPr>
        <xdr:cNvPr id="25" name="Rectangle 24"/>
        <xdr:cNvSpPr/>
      </xdr:nvSpPr>
      <xdr:spPr>
        <a:xfrm>
          <a:off x="11971020" y="2934335"/>
          <a:ext cx="4189730" cy="23114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26</xdr:col>
      <xdr:colOff>401320</xdr:colOff>
      <xdr:row>15</xdr:row>
      <xdr:rowOff>172085</xdr:rowOff>
    </xdr:from>
    <xdr:to>
      <xdr:col>33</xdr:col>
      <xdr:colOff>323850</xdr:colOff>
      <xdr:row>28</xdr:row>
      <xdr:rowOff>121285</xdr:rowOff>
    </xdr:to>
    <xdr:sp>
      <xdr:nvSpPr>
        <xdr:cNvPr id="26" name="Rectangle 25"/>
        <xdr:cNvSpPr/>
      </xdr:nvSpPr>
      <xdr:spPr>
        <a:xfrm>
          <a:off x="16250920" y="2934335"/>
          <a:ext cx="4189730" cy="23431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26</xdr:col>
      <xdr:colOff>420370</xdr:colOff>
      <xdr:row>29</xdr:row>
      <xdr:rowOff>13335</xdr:rowOff>
    </xdr:from>
    <xdr:to>
      <xdr:col>33</xdr:col>
      <xdr:colOff>311150</xdr:colOff>
      <xdr:row>42</xdr:row>
      <xdr:rowOff>88900</xdr:rowOff>
    </xdr:to>
    <xdr:sp>
      <xdr:nvSpPr>
        <xdr:cNvPr id="27" name="Rectangle 26"/>
        <xdr:cNvSpPr/>
      </xdr:nvSpPr>
      <xdr:spPr>
        <a:xfrm>
          <a:off x="16269970" y="5353685"/>
          <a:ext cx="4157980" cy="24695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19</xdr:col>
      <xdr:colOff>401320</xdr:colOff>
      <xdr:row>29</xdr:row>
      <xdr:rowOff>76835</xdr:rowOff>
    </xdr:from>
    <xdr:to>
      <xdr:col>26</xdr:col>
      <xdr:colOff>323850</xdr:colOff>
      <xdr:row>42</xdr:row>
      <xdr:rowOff>88900</xdr:rowOff>
    </xdr:to>
    <xdr:sp>
      <xdr:nvSpPr>
        <xdr:cNvPr id="28" name="Rectangle 27"/>
        <xdr:cNvSpPr/>
      </xdr:nvSpPr>
      <xdr:spPr>
        <a:xfrm>
          <a:off x="11983720" y="5417185"/>
          <a:ext cx="4189730" cy="24060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5</xdr:col>
      <xdr:colOff>267335</xdr:colOff>
      <xdr:row>15</xdr:row>
      <xdr:rowOff>172085</xdr:rowOff>
    </xdr:from>
    <xdr:to>
      <xdr:col>12</xdr:col>
      <xdr:colOff>147955</xdr:colOff>
      <xdr:row>28</xdr:row>
      <xdr:rowOff>153670</xdr:rowOff>
    </xdr:to>
    <xdr:graphicFrame>
      <xdr:nvGraphicFramePr>
        <xdr:cNvPr id="29" name="Chart 28"/>
        <xdr:cNvGraphicFramePr/>
      </xdr:nvGraphicFramePr>
      <xdr:xfrm>
        <a:off x="3315335" y="2934335"/>
        <a:ext cx="4147820" cy="2375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248920</xdr:colOff>
      <xdr:row>29</xdr:row>
      <xdr:rowOff>38735</xdr:rowOff>
    </xdr:from>
    <xdr:to>
      <xdr:col>12</xdr:col>
      <xdr:colOff>160655</xdr:colOff>
      <xdr:row>42</xdr:row>
      <xdr:rowOff>107315</xdr:rowOff>
    </xdr:to>
    <xdr:graphicFrame>
      <xdr:nvGraphicFramePr>
        <xdr:cNvPr id="30" name="Chart 29"/>
        <xdr:cNvGraphicFramePr/>
      </xdr:nvGraphicFramePr>
      <xdr:xfrm>
        <a:off x="3296920" y="5379085"/>
        <a:ext cx="4178935" cy="2462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248920</xdr:colOff>
      <xdr:row>15</xdr:row>
      <xdr:rowOff>172085</xdr:rowOff>
    </xdr:from>
    <xdr:to>
      <xdr:col>19</xdr:col>
      <xdr:colOff>185420</xdr:colOff>
      <xdr:row>28</xdr:row>
      <xdr:rowOff>153035</xdr:rowOff>
    </xdr:to>
    <xdr:graphicFrame>
      <xdr:nvGraphicFramePr>
        <xdr:cNvPr id="31" name="Chart 30"/>
        <xdr:cNvGraphicFramePr/>
      </xdr:nvGraphicFramePr>
      <xdr:xfrm>
        <a:off x="7564120" y="2934335"/>
        <a:ext cx="4203700" cy="2374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255270</xdr:colOff>
      <xdr:row>29</xdr:row>
      <xdr:rowOff>19685</xdr:rowOff>
    </xdr:from>
    <xdr:to>
      <xdr:col>19</xdr:col>
      <xdr:colOff>187325</xdr:colOff>
      <xdr:row>42</xdr:row>
      <xdr:rowOff>106680</xdr:rowOff>
    </xdr:to>
    <xdr:graphicFrame>
      <xdr:nvGraphicFramePr>
        <xdr:cNvPr id="32" name="Chart 31"/>
        <xdr:cNvGraphicFramePr/>
      </xdr:nvGraphicFramePr>
      <xdr:xfrm>
        <a:off x="7570470" y="5360035"/>
        <a:ext cx="4199255" cy="2480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388620</xdr:colOff>
      <xdr:row>15</xdr:row>
      <xdr:rowOff>172085</xdr:rowOff>
    </xdr:from>
    <xdr:to>
      <xdr:col>26</xdr:col>
      <xdr:colOff>331470</xdr:colOff>
      <xdr:row>28</xdr:row>
      <xdr:rowOff>132715</xdr:rowOff>
    </xdr:to>
    <xdr:graphicFrame>
      <xdr:nvGraphicFramePr>
        <xdr:cNvPr id="20" name="Chart 19"/>
        <xdr:cNvGraphicFramePr/>
      </xdr:nvGraphicFramePr>
      <xdr:xfrm>
        <a:off x="11971020" y="2934335"/>
        <a:ext cx="4210050" cy="2354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401320</xdr:colOff>
      <xdr:row>29</xdr:row>
      <xdr:rowOff>13970</xdr:rowOff>
    </xdr:from>
    <xdr:to>
      <xdr:col>26</xdr:col>
      <xdr:colOff>339090</xdr:colOff>
      <xdr:row>42</xdr:row>
      <xdr:rowOff>102870</xdr:rowOff>
    </xdr:to>
    <xdr:graphicFrame>
      <xdr:nvGraphicFramePr>
        <xdr:cNvPr id="33" name="Chart 32"/>
        <xdr:cNvGraphicFramePr/>
      </xdr:nvGraphicFramePr>
      <xdr:xfrm>
        <a:off x="11983720" y="5354320"/>
        <a:ext cx="4204970" cy="2482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401320</xdr:colOff>
      <xdr:row>15</xdr:row>
      <xdr:rowOff>172085</xdr:rowOff>
    </xdr:from>
    <xdr:to>
      <xdr:col>33</xdr:col>
      <xdr:colOff>331470</xdr:colOff>
      <xdr:row>28</xdr:row>
      <xdr:rowOff>120015</xdr:rowOff>
    </xdr:to>
    <xdr:graphicFrame>
      <xdr:nvGraphicFramePr>
        <xdr:cNvPr id="34" name="Chart 33"/>
        <xdr:cNvGraphicFramePr/>
      </xdr:nvGraphicFramePr>
      <xdr:xfrm>
        <a:off x="16250920" y="2934335"/>
        <a:ext cx="4197350" cy="234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420370</xdr:colOff>
      <xdr:row>29</xdr:row>
      <xdr:rowOff>13335</xdr:rowOff>
    </xdr:from>
    <xdr:to>
      <xdr:col>33</xdr:col>
      <xdr:colOff>361950</xdr:colOff>
      <xdr:row>42</xdr:row>
      <xdr:rowOff>101600</xdr:rowOff>
    </xdr:to>
    <xdr:graphicFrame>
      <xdr:nvGraphicFramePr>
        <xdr:cNvPr id="35" name="Chart 34"/>
        <xdr:cNvGraphicFramePr/>
      </xdr:nvGraphicFramePr>
      <xdr:xfrm>
        <a:off x="16269970" y="5353685"/>
        <a:ext cx="4208780" cy="24822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153035</xdr:colOff>
      <xdr:row>0</xdr:row>
      <xdr:rowOff>27305</xdr:rowOff>
    </xdr:from>
    <xdr:to>
      <xdr:col>27</xdr:col>
      <xdr:colOff>55245</xdr:colOff>
      <xdr:row>41</xdr:row>
      <xdr:rowOff>125730</xdr:rowOff>
    </xdr:to>
    <xdr:sp>
      <xdr:nvSpPr>
        <xdr:cNvPr id="2" name="Rectangle 1"/>
        <xdr:cNvSpPr/>
      </xdr:nvSpPr>
      <xdr:spPr>
        <a:xfrm>
          <a:off x="762635" y="27305"/>
          <a:ext cx="15751810" cy="764857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p>
          <a:pPr marL="3657600" lvl="8" indent="457200" algn="l"/>
          <a:r>
            <a:rPr lang="en-US" sz="1800" b="1">
              <a:solidFill>
                <a:schemeClr val="accent4"/>
              </a:solidFill>
              <a:effectLst/>
            </a:rPr>
            <a:t>  	     AFRICA COVID-19 DASHBOARD</a:t>
          </a:r>
          <a:r>
            <a:rPr lang="en-US" sz="1100" b="1">
              <a:solidFill>
                <a:schemeClr val="accent4"/>
              </a:solidFill>
            </a:rPr>
            <a:t> </a:t>
          </a:r>
          <a:endParaRPr lang="en-US" sz="1100" b="1">
            <a:solidFill>
              <a:schemeClr val="accent4"/>
            </a:solidFill>
          </a:endParaRPr>
        </a:p>
      </xdr:txBody>
    </xdr:sp>
    <xdr:clientData/>
  </xdr:twoCellAnchor>
  <xdr:twoCellAnchor>
    <xdr:from>
      <xdr:col>1</xdr:col>
      <xdr:colOff>470535</xdr:colOff>
      <xdr:row>5</xdr:row>
      <xdr:rowOff>63500</xdr:rowOff>
    </xdr:from>
    <xdr:to>
      <xdr:col>5</xdr:col>
      <xdr:colOff>24765</xdr:colOff>
      <xdr:row>28</xdr:row>
      <xdr:rowOff>84455</xdr:rowOff>
    </xdr:to>
    <xdr:sp>
      <xdr:nvSpPr>
        <xdr:cNvPr id="3" name="Rectangle 2"/>
        <xdr:cNvSpPr/>
      </xdr:nvSpPr>
      <xdr:spPr>
        <a:xfrm>
          <a:off x="1080135" y="984250"/>
          <a:ext cx="1992630" cy="4256405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7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</a:t>
          </a:r>
          <a:endParaRPr lang="en-US" sz="7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l"/>
          <a:endParaRPr lang="en-US" sz="7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7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TOTAL POPULATION </a:t>
          </a:r>
          <a:r>
            <a:rPr lang="en-US" sz="7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 </a:t>
          </a:r>
          <a:r>
            <a:rPr lang="en-US" sz="2000" b="1">
              <a:ln>
                <a:noFill/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487,515,881</a:t>
          </a:r>
          <a:endParaRPr lang="en-US" sz="2000" b="1">
            <a:ln>
              <a:noFill/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ctr"/>
          <a:endParaRPr lang="en-US" sz="2000" b="1">
            <a:ln>
              <a:noFill/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ctr"/>
          <a:r>
            <a:rPr lang="en-US" sz="8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TOTAL TEST</a:t>
          </a:r>
          <a:endParaRPr lang="en-US" sz="8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2000" b="1">
              <a:ln>
                <a:noFill/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sym typeface="+mn-ea"/>
            </a:rPr>
            <a:t>65,168,182 </a:t>
          </a:r>
          <a:endParaRPr lang="en-US" sz="2000" b="1">
            <a:ln>
              <a:noFill/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ctr"/>
          <a:endParaRPr lang="en-US" sz="2000" b="1">
            <a:ln>
              <a:noFill/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sym typeface="+mn-ea"/>
          </a:endParaRPr>
        </a:p>
        <a:p>
          <a:pPr algn="ctr"/>
          <a:r>
            <a:rPr lang="en-US" sz="8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TOTAL CASES</a:t>
          </a:r>
          <a:endParaRPr lang="en-US" sz="8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100" b="1">
              <a:solidFill>
                <a:schemeClr val="bg1"/>
              </a:solidFill>
            </a:rPr>
            <a:t> </a:t>
          </a:r>
          <a:r>
            <a:rPr lang="en-US" sz="20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9,172,220 </a:t>
          </a:r>
          <a:endParaRPr lang="en-US" sz="1100" b="1">
            <a:solidFill>
              <a:schemeClr val="bg1"/>
            </a:solidFill>
          </a:endParaRPr>
        </a:p>
        <a:p>
          <a:pPr algn="ctr"/>
          <a:endParaRPr lang="en-US" sz="1100" b="1">
            <a:solidFill>
              <a:schemeClr val="bg1"/>
            </a:solidFill>
          </a:endParaRPr>
        </a:p>
        <a:p>
          <a:pPr algn="ctr"/>
          <a:endParaRPr lang="en-US" sz="1100" b="1">
            <a:solidFill>
              <a:schemeClr val="bg1"/>
            </a:solidFill>
          </a:endParaRPr>
        </a:p>
        <a:p>
          <a:pPr algn="ctr"/>
          <a:r>
            <a:rPr lang="en-US" sz="8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TOTAL RECOVERED</a:t>
          </a:r>
          <a:endParaRPr lang="en-US" sz="9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20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8,853,074 </a:t>
          </a:r>
          <a:endParaRPr lang="en-US" sz="20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100" b="1">
              <a:solidFill>
                <a:schemeClr val="bg1"/>
              </a:solidFill>
            </a:rPr>
            <a:t> </a:t>
          </a:r>
          <a:endParaRPr lang="en-US" sz="1100" b="1">
            <a:solidFill>
              <a:schemeClr val="bg1"/>
            </a:solidFill>
          </a:endParaRPr>
        </a:p>
        <a:p>
          <a:pPr algn="ctr"/>
          <a:endParaRPr lang="en-US" sz="1100" b="1">
            <a:solidFill>
              <a:schemeClr val="bg1"/>
            </a:solidFill>
          </a:endParaRPr>
        </a:p>
        <a:p>
          <a:pPr algn="ctr"/>
          <a:r>
            <a:rPr lang="en-US" sz="7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TOTAL DEATH</a:t>
          </a:r>
          <a:endParaRPr lang="en-US" sz="1100" b="1"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2000" b="1"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199,515 </a:t>
          </a:r>
          <a:endParaRPr lang="en-US" sz="1100" b="1">
            <a:solidFill>
              <a:schemeClr val="bg1"/>
            </a:solidFill>
          </a:endParaRPr>
        </a:p>
        <a:p>
          <a:pPr algn="ctr"/>
          <a:r>
            <a:rPr lang="en-US" sz="1100" b="1">
              <a:solidFill>
                <a:schemeClr val="bg1"/>
              </a:solidFill>
            </a:rPr>
            <a:t> </a:t>
          </a:r>
          <a:endParaRPr lang="en-US" sz="1100" b="1">
            <a:solidFill>
              <a:schemeClr val="bg1"/>
            </a:solidFill>
          </a:endParaRPr>
        </a:p>
        <a:p>
          <a:pPr algn="l"/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298450</xdr:colOff>
      <xdr:row>5</xdr:row>
      <xdr:rowOff>151765</xdr:rowOff>
    </xdr:from>
    <xdr:to>
      <xdr:col>12</xdr:col>
      <xdr:colOff>374650</xdr:colOff>
      <xdr:row>16</xdr:row>
      <xdr:rowOff>57150</xdr:rowOff>
    </xdr:to>
    <xdr:sp>
      <xdr:nvSpPr>
        <xdr:cNvPr id="4" name="Rectangle 3"/>
        <xdr:cNvSpPr/>
      </xdr:nvSpPr>
      <xdr:spPr>
        <a:xfrm>
          <a:off x="3346450" y="1072515"/>
          <a:ext cx="4343400" cy="1931035"/>
        </a:xfrm>
        <a:prstGeom prst="rect">
          <a:avLst/>
        </a:prstGeom>
        <a:solidFill>
          <a:schemeClr val="bg2"/>
        </a:solidFill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285750</xdr:colOff>
      <xdr:row>16</xdr:row>
      <xdr:rowOff>127000</xdr:rowOff>
    </xdr:from>
    <xdr:to>
      <xdr:col>12</xdr:col>
      <xdr:colOff>361950</xdr:colOff>
      <xdr:row>28</xdr:row>
      <xdr:rowOff>69850</xdr:rowOff>
    </xdr:to>
    <xdr:sp>
      <xdr:nvSpPr>
        <xdr:cNvPr id="5" name="Rectangle 4"/>
        <xdr:cNvSpPr/>
      </xdr:nvSpPr>
      <xdr:spPr>
        <a:xfrm>
          <a:off x="3333750" y="3073400"/>
          <a:ext cx="4343400" cy="2152650"/>
        </a:xfrm>
        <a:prstGeom prst="rect">
          <a:avLst/>
        </a:prstGeom>
        <a:solidFill>
          <a:schemeClr val="bg2"/>
        </a:solidFill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438150</xdr:colOff>
      <xdr:row>28</xdr:row>
      <xdr:rowOff>165735</xdr:rowOff>
    </xdr:from>
    <xdr:to>
      <xdr:col>7</xdr:col>
      <xdr:colOff>431800</xdr:colOff>
      <xdr:row>40</xdr:row>
      <xdr:rowOff>165100</xdr:rowOff>
    </xdr:to>
    <xdr:sp>
      <xdr:nvSpPr>
        <xdr:cNvPr id="6" name="Rectangle 5"/>
        <xdr:cNvSpPr/>
      </xdr:nvSpPr>
      <xdr:spPr>
        <a:xfrm>
          <a:off x="1047750" y="5321935"/>
          <a:ext cx="3651250" cy="2209165"/>
        </a:xfrm>
        <a:prstGeom prst="rect">
          <a:avLst/>
        </a:prstGeom>
        <a:solidFill>
          <a:schemeClr val="bg2"/>
        </a:solidFill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533400</xdr:colOff>
      <xdr:row>28</xdr:row>
      <xdr:rowOff>159385</xdr:rowOff>
    </xdr:from>
    <xdr:to>
      <xdr:col>14</xdr:col>
      <xdr:colOff>69850</xdr:colOff>
      <xdr:row>40</xdr:row>
      <xdr:rowOff>158750</xdr:rowOff>
    </xdr:to>
    <xdr:sp>
      <xdr:nvSpPr>
        <xdr:cNvPr id="7" name="Rectangle 6"/>
        <xdr:cNvSpPr/>
      </xdr:nvSpPr>
      <xdr:spPr>
        <a:xfrm>
          <a:off x="4800600" y="5315585"/>
          <a:ext cx="3803650" cy="2209165"/>
        </a:xfrm>
        <a:prstGeom prst="rect">
          <a:avLst/>
        </a:prstGeom>
        <a:solidFill>
          <a:schemeClr val="bg2"/>
        </a:solidFill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476250</xdr:colOff>
      <xdr:row>5</xdr:row>
      <xdr:rowOff>120650</xdr:rowOff>
    </xdr:from>
    <xdr:to>
      <xdr:col>20</xdr:col>
      <xdr:colOff>95250</xdr:colOff>
      <xdr:row>16</xdr:row>
      <xdr:rowOff>38100</xdr:rowOff>
    </xdr:to>
    <xdr:sp>
      <xdr:nvSpPr>
        <xdr:cNvPr id="8" name="Rectangle 7"/>
        <xdr:cNvSpPr/>
      </xdr:nvSpPr>
      <xdr:spPr>
        <a:xfrm>
          <a:off x="7791450" y="1041400"/>
          <a:ext cx="4495800" cy="1943100"/>
        </a:xfrm>
        <a:prstGeom prst="rect">
          <a:avLst/>
        </a:prstGeom>
        <a:solidFill>
          <a:schemeClr val="bg2"/>
        </a:solidFill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12</xdr:col>
      <xdr:colOff>450850</xdr:colOff>
      <xdr:row>16</xdr:row>
      <xdr:rowOff>121920</xdr:rowOff>
    </xdr:from>
    <xdr:to>
      <xdr:col>20</xdr:col>
      <xdr:colOff>101600</xdr:colOff>
      <xdr:row>28</xdr:row>
      <xdr:rowOff>57785</xdr:rowOff>
    </xdr:to>
    <xdr:sp>
      <xdr:nvSpPr>
        <xdr:cNvPr id="9" name="Rectangle 8"/>
        <xdr:cNvSpPr/>
      </xdr:nvSpPr>
      <xdr:spPr>
        <a:xfrm>
          <a:off x="7766050" y="3068320"/>
          <a:ext cx="4527550" cy="2145665"/>
        </a:xfrm>
        <a:prstGeom prst="rect">
          <a:avLst/>
        </a:prstGeom>
        <a:solidFill>
          <a:schemeClr val="bg2"/>
        </a:solidFill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177800</xdr:colOff>
      <xdr:row>28</xdr:row>
      <xdr:rowOff>153670</xdr:rowOff>
    </xdr:from>
    <xdr:to>
      <xdr:col>20</xdr:col>
      <xdr:colOff>128270</xdr:colOff>
      <xdr:row>40</xdr:row>
      <xdr:rowOff>158750</xdr:rowOff>
    </xdr:to>
    <xdr:sp>
      <xdr:nvSpPr>
        <xdr:cNvPr id="10" name="Rectangle 9"/>
        <xdr:cNvSpPr/>
      </xdr:nvSpPr>
      <xdr:spPr>
        <a:xfrm>
          <a:off x="8712200" y="5309870"/>
          <a:ext cx="3608070" cy="2214880"/>
        </a:xfrm>
        <a:prstGeom prst="rect">
          <a:avLst/>
        </a:prstGeom>
        <a:solidFill>
          <a:schemeClr val="bg2"/>
        </a:solidFill>
        <a:ln>
          <a:noFill/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</xdr:col>
      <xdr:colOff>439420</xdr:colOff>
      <xdr:row>28</xdr:row>
      <xdr:rowOff>158750</xdr:rowOff>
    </xdr:from>
    <xdr:to>
      <xdr:col>7</xdr:col>
      <xdr:colOff>483870</xdr:colOff>
      <xdr:row>40</xdr:row>
      <xdr:rowOff>165735</xdr:rowOff>
    </xdr:to>
    <xdr:graphicFrame>
      <xdr:nvGraphicFramePr>
        <xdr:cNvPr id="12" name="Chart 11"/>
        <xdr:cNvGraphicFramePr/>
      </xdr:nvGraphicFramePr>
      <xdr:xfrm>
        <a:off x="1049020" y="5314950"/>
        <a:ext cx="3702050" cy="2216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457835</xdr:colOff>
      <xdr:row>5</xdr:row>
      <xdr:rowOff>44450</xdr:rowOff>
    </xdr:from>
    <xdr:to>
      <xdr:col>20</xdr:col>
      <xdr:colOff>107950</xdr:colOff>
      <xdr:row>16</xdr:row>
      <xdr:rowOff>57785</xdr:rowOff>
    </xdr:to>
    <xdr:graphicFrame>
      <xdr:nvGraphicFramePr>
        <xdr:cNvPr id="13" name="Chart 12"/>
        <xdr:cNvGraphicFramePr/>
      </xdr:nvGraphicFramePr>
      <xdr:xfrm>
        <a:off x="7773035" y="965200"/>
        <a:ext cx="4526915" cy="2038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452120</xdr:colOff>
      <xdr:row>16</xdr:row>
      <xdr:rowOff>121920</xdr:rowOff>
    </xdr:from>
    <xdr:to>
      <xdr:col>20</xdr:col>
      <xdr:colOff>110490</xdr:colOff>
      <xdr:row>28</xdr:row>
      <xdr:rowOff>52705</xdr:rowOff>
    </xdr:to>
    <xdr:graphicFrame>
      <xdr:nvGraphicFramePr>
        <xdr:cNvPr id="14" name="Chart 13"/>
        <xdr:cNvGraphicFramePr/>
      </xdr:nvGraphicFramePr>
      <xdr:xfrm>
        <a:off x="7767320" y="3068320"/>
        <a:ext cx="4535170" cy="2140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158750</xdr:colOff>
      <xdr:row>16</xdr:row>
      <xdr:rowOff>127635</xdr:rowOff>
    </xdr:from>
    <xdr:to>
      <xdr:col>12</xdr:col>
      <xdr:colOff>394335</xdr:colOff>
      <xdr:row>28</xdr:row>
      <xdr:rowOff>74930</xdr:rowOff>
    </xdr:to>
    <xdr:graphicFrame>
      <xdr:nvGraphicFramePr>
        <xdr:cNvPr id="15" name="Chart 14"/>
        <xdr:cNvGraphicFramePr/>
      </xdr:nvGraphicFramePr>
      <xdr:xfrm>
        <a:off x="3206750" y="3074035"/>
        <a:ext cx="4502785" cy="2157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520700</xdr:colOff>
      <xdr:row>28</xdr:row>
      <xdr:rowOff>153670</xdr:rowOff>
    </xdr:from>
    <xdr:to>
      <xdr:col>14</xdr:col>
      <xdr:colOff>70485</xdr:colOff>
      <xdr:row>40</xdr:row>
      <xdr:rowOff>166370</xdr:rowOff>
    </xdr:to>
    <xdr:graphicFrame>
      <xdr:nvGraphicFramePr>
        <xdr:cNvPr id="16" name="Chart 15"/>
        <xdr:cNvGraphicFramePr/>
      </xdr:nvGraphicFramePr>
      <xdr:xfrm>
        <a:off x="4787900" y="5309870"/>
        <a:ext cx="3816985" cy="2222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121285</xdr:colOff>
      <xdr:row>28</xdr:row>
      <xdr:rowOff>153670</xdr:rowOff>
    </xdr:from>
    <xdr:to>
      <xdr:col>20</xdr:col>
      <xdr:colOff>115570</xdr:colOff>
      <xdr:row>40</xdr:row>
      <xdr:rowOff>172720</xdr:rowOff>
    </xdr:to>
    <xdr:graphicFrame>
      <xdr:nvGraphicFramePr>
        <xdr:cNvPr id="17" name="Chart 16"/>
        <xdr:cNvGraphicFramePr/>
      </xdr:nvGraphicFramePr>
      <xdr:xfrm>
        <a:off x="8655685" y="5309870"/>
        <a:ext cx="3651885" cy="2228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165735</xdr:colOff>
      <xdr:row>5</xdr:row>
      <xdr:rowOff>50165</xdr:rowOff>
    </xdr:from>
    <xdr:to>
      <xdr:col>12</xdr:col>
      <xdr:colOff>393700</xdr:colOff>
      <xdr:row>16</xdr:row>
      <xdr:rowOff>68580</xdr:rowOff>
    </xdr:to>
    <xdr:graphicFrame>
      <xdr:nvGraphicFramePr>
        <xdr:cNvPr id="18" name="Chart 17"/>
        <xdr:cNvGraphicFramePr/>
      </xdr:nvGraphicFramePr>
      <xdr:xfrm>
        <a:off x="3213735" y="970915"/>
        <a:ext cx="4495165" cy="2044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552450</xdr:colOff>
      <xdr:row>1</xdr:row>
      <xdr:rowOff>152400</xdr:rowOff>
    </xdr:from>
    <xdr:to>
      <xdr:col>20</xdr:col>
      <xdr:colOff>158115</xdr:colOff>
      <xdr:row>5</xdr:row>
      <xdr:rowOff>32385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Country,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,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2050" y="336550"/>
              <a:ext cx="11188065" cy="6165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20</xdr:col>
      <xdr:colOff>565785</xdr:colOff>
      <xdr:row>1</xdr:row>
      <xdr:rowOff>100330</xdr:rowOff>
    </xdr:from>
    <xdr:to>
      <xdr:col>26</xdr:col>
      <xdr:colOff>237490</xdr:colOff>
      <xdr:row>22</xdr:row>
      <xdr:rowOff>27940</xdr:rowOff>
    </xdr:to>
    <xdr:sp>
      <xdr:nvSpPr>
        <xdr:cNvPr id="11" name="Text Box 10"/>
        <xdr:cNvSpPr txBox="1"/>
      </xdr:nvSpPr>
      <xdr:spPr>
        <a:xfrm>
          <a:off x="12757785" y="284480"/>
          <a:ext cx="3329305" cy="3794760"/>
        </a:xfrm>
        <a:prstGeom prst="rect">
          <a:avLst/>
        </a:prstGeom>
        <a:solidFill>
          <a:schemeClr val="bg1"/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en-US" sz="20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          KEY INSIGHTS</a:t>
          </a:r>
          <a:endParaRPr lang="en-US" sz="11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endParaRPr lang="en-US" sz="11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3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1. Total Impact: Africa recorded 9.17 Million cases, 199,515 deaths, and 8.85 Million recoveries from the analyzed countries.</a:t>
          </a:r>
          <a:endParaRPr lang="en-US" sz="13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3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2. South Africa remains the most affected country with the highest cases (3.99M), recoveries (3.87M), and testing volume.</a:t>
          </a:r>
          <a:endParaRPr lang="en-US" sz="13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3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3. Morocco leads in Serious/Critical cases (293), indicating higher pressure on healthcare resources.</a:t>
          </a:r>
          <a:endParaRPr lang="en-US" sz="13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3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4. Recovery rate is strong overall (~96.5%), showing good treatment outcomes.</a:t>
          </a:r>
          <a:endParaRPr lang="en-US" sz="13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3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5. Deaths per 1 Million population is highest in countries like Tunisia, Botswana, and South Africa.</a:t>
          </a:r>
          <a:endParaRPr lang="en-US" sz="13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  <xdr:twoCellAnchor>
    <xdr:from>
      <xdr:col>20</xdr:col>
      <xdr:colOff>598170</xdr:colOff>
      <xdr:row>23</xdr:row>
      <xdr:rowOff>26035</xdr:rowOff>
    </xdr:from>
    <xdr:to>
      <xdr:col>26</xdr:col>
      <xdr:colOff>236220</xdr:colOff>
      <xdr:row>40</xdr:row>
      <xdr:rowOff>134620</xdr:rowOff>
    </xdr:to>
    <xdr:sp>
      <xdr:nvSpPr>
        <xdr:cNvPr id="20" name="Text Box 19"/>
        <xdr:cNvSpPr txBox="1"/>
      </xdr:nvSpPr>
      <xdr:spPr>
        <a:xfrm>
          <a:off x="12790170" y="4261485"/>
          <a:ext cx="3295650" cy="3239135"/>
        </a:xfrm>
        <a:prstGeom prst="rect">
          <a:avLst/>
        </a:prstGeom>
        <a:solidFill>
          <a:schemeClr val="bg1"/>
        </a:solidFill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en-US" sz="25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RECOMMENDATIONS</a:t>
          </a:r>
          <a:endParaRPr lang="en-US" sz="25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endParaRPr lang="en-US" sz="1100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2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1. Prioritize healthcare capacity building in high-burden countries (South Africa, Morocco, Egypt, Tunisia).</a:t>
          </a:r>
          <a:endParaRPr lang="en-US" sz="12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2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2. Increase testing capacity in low-reporting nations to avoid hidden outbreaks.</a:t>
          </a:r>
          <a:endParaRPr lang="en-US" sz="12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2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3. Focus on vaccination drives and public health awareness in densely populated countries.</a:t>
          </a:r>
          <a:endParaRPr lang="en-US" sz="12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2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4. Strengthen regional collaboration high-burden countries should support lower-burden ones with resources and knowledge sharing.</a:t>
          </a:r>
          <a:endParaRPr lang="en-US" sz="12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  <a:p>
          <a:pPr algn="l"/>
          <a:r>
            <a:rPr lang="en-US" sz="1200" b="1">
              <a:ln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5. Continuous monitoring of Active Cases and Serious/Critical cases for early intervention.</a:t>
          </a:r>
          <a:endParaRPr lang="en-US" sz="1200" b="1">
            <a:ln/>
            <a:solidFill>
              <a:schemeClr val="accent1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2" Type="http://schemas.openxmlformats.org/officeDocument/2006/relationships/externalLinkPath" Target="temitayo 2.xlsx" TargetMode="External"/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1.9783912037" refreshedBy="HP" recordCount="10">
  <cacheSource type="worksheet">
    <worksheetSource ref="A1:A1" sheet="COVID- Africa"/>
  </cacheSource>
  <cacheFields count="14">
    <cacheField name="#" numFmtId="0">
      <sharedItems containsSemiMixedTypes="0" containsString="0" containsNumber="1" containsInteger="1" minValue="1" maxValue="10" count="10">
        <n v="1"/>
        <n v="3"/>
        <n v="4"/>
        <n v="2"/>
        <n v="6"/>
        <n v="5"/>
        <n v="8"/>
        <n v="9"/>
        <n v="10"/>
        <n v="7"/>
      </sharedItems>
    </cacheField>
    <cacheField name="Country," numFmtId="0">
      <sharedItems count="10">
        <s v="South Africa"/>
        <s v="Tunisia"/>
        <s v="Egypt"/>
        <s v="Morocco"/>
        <s v="Ethiopia"/>
        <s v="Libya"/>
        <s v="Kenya"/>
        <s v="Zambia"/>
        <s v="Botswana"/>
        <s v="Réunion"/>
      </sharedItems>
    </cacheField>
    <cacheField name="Total Cases" numFmtId="3">
      <sharedItems containsSemiMixedTypes="0" containsString="0" containsNumber="1" containsInteger="1" minValue="314242" maxValue="3986892" count="10">
        <n v="3986892"/>
        <n v="1044426"/>
        <n v="515645"/>
        <n v="1186597"/>
        <n v="484536"/>
        <n v="502110"/>
        <n v="329605"/>
        <n v="324344"/>
        <n v="314242"/>
        <n v="419968"/>
      </sharedItems>
    </cacheField>
    <cacheField name="Total Deaths" numFmtId="0">
      <sharedItems containsSemiMixedTypes="0" containsString="0" containsNumber="1" containsInteger="1" minValue="799" maxValue="101620" count="10">
        <n v="101620"/>
        <n v="28655"/>
        <n v="24613"/>
        <n v="16087"/>
        <n v="7524"/>
        <n v="6430"/>
        <n v="5651"/>
        <n v="3997"/>
        <n v="2709"/>
        <n v="799"/>
      </sharedItems>
    </cacheField>
    <cacheField name="Total Recovered" numFmtId="3">
      <sharedItems containsSemiMixedTypes="0" containsString="0" containsNumber="1" containsInteger="1" minValue="306118" maxValue="3871421" count="10">
        <n v="3871421"/>
        <n v="1015771"/>
        <n v="442182"/>
        <n v="1160121"/>
        <n v="458374"/>
        <n v="490973"/>
        <n v="320798"/>
        <n v="319267"/>
        <n v="306118"/>
        <n v="417167"/>
      </sharedItems>
    </cacheField>
    <cacheField name="Active Cases" numFmtId="0">
      <sharedItems containsString="0" containsBlank="1" containsNumber="1" containsInteger="1" minValue="1080" maxValue="48850" count="10">
        <n v="13851"/>
        <m/>
        <n v="48850"/>
        <n v="10389"/>
        <n v="18638"/>
        <n v="4707"/>
        <n v="3156"/>
        <n v="1080"/>
        <n v="5415"/>
        <n v="2002"/>
      </sharedItems>
    </cacheField>
    <cacheField name="Serious Critical" numFmtId="0">
      <sharedItems containsSemiMixedTypes="0" containsString="0" containsNumber="1" containsInteger="1" minValue="1" maxValue="293" count="8">
        <n v="192"/>
        <n v="29"/>
        <n v="122"/>
        <n v="293"/>
        <n v="39"/>
        <n v="101"/>
        <n v="1"/>
        <n v="10"/>
      </sharedItems>
    </cacheField>
    <cacheField name="Tot Cases/ 1M Pop" numFmtId="3">
      <sharedItems containsSemiMixedTypes="0" containsString="0" containsNumber="1" containsInteger="1" minValue="4019" maxValue="462593" count="10">
        <n v="65599"/>
        <n v="86592"/>
        <n v="4859"/>
        <n v="31417"/>
        <n v="4019"/>
        <n v="71173"/>
        <n v="5876"/>
        <n v="16723"/>
        <n v="128532"/>
        <n v="462593"/>
      </sharedItems>
    </cacheField>
    <cacheField name="Deaths/ 1M Pop" numFmtId="0">
      <sharedItems containsSemiMixedTypes="0" containsString="0" containsNumber="1" containsInteger="1" minValue="62" maxValue="2376" count="10">
        <n v="1672"/>
        <n v="2376"/>
        <n v="232"/>
        <n v="426"/>
        <n v="62"/>
        <n v="911"/>
        <n v="101"/>
        <n v="206"/>
        <n v="1108"/>
        <n v="880"/>
      </sharedItems>
    </cacheField>
    <cacheField name="Total Tests" numFmtId="3">
      <sharedItems containsSemiMixedTypes="0" containsString="0" containsNumber="1" containsInteger="1" minValue="1603660" maxValue="25604409" count="10">
        <n v="25604409"/>
        <n v="4647813"/>
        <n v="3693367"/>
        <n v="11804007"/>
        <n v="5020764"/>
        <n v="2477219"/>
        <n v="3724555"/>
        <n v="3525519"/>
        <n v="2026898"/>
        <n v="1603660"/>
      </sharedItems>
    </cacheField>
    <cacheField name="Tests/ 1M Pop" numFmtId="3">
      <sharedItems containsSemiMixedTypes="0" containsString="0" containsNumber="1" containsInteger="1" minValue="34802" maxValue="1766424" count="10">
        <n v="421285"/>
        <n v="385345"/>
        <n v="34802"/>
        <n v="312527"/>
        <n v="41647"/>
        <n v="351142"/>
        <n v="66395"/>
        <n v="181778"/>
        <n v="829049"/>
        <n v="1766424"/>
      </sharedItems>
    </cacheField>
    <cacheField name="Population" numFmtId="177">
      <sharedItems containsSemiMixedTypes="0" containsString="0" containsNumber="1" containsInteger="1" minValue="907857" maxValue="120553858" count="10">
        <n v="60776880"/>
        <n v="12061430"/>
        <n v="106123802"/>
        <n v="37769553"/>
        <n v="120553858"/>
        <n v="7054748"/>
        <n v="56096568"/>
        <n v="19394630"/>
        <n v="2444846"/>
        <n v="907857"/>
      </sharedItems>
    </cacheField>
    <cacheField name="Mortality Rate" numFmtId="0">
      <sharedItems containsSemiMixedTypes="0" containsString="0" containsNumber="1" minValue="0.190252590673575" maxValue="4.77324515897565" count="10">
        <n v="2.54885258993722"/>
        <n v="2.74361228081262"/>
        <n v="4.77324515897565"/>
        <n v="1.35572565917493"/>
        <n v="1.55282579622567"/>
        <n v="1.28059588536376"/>
        <n v="1.71447641874365"/>
        <n v="1.23233357176331"/>
        <n v="0.862074452173802"/>
        <n v="0.190252590673575"/>
      </sharedItems>
    </cacheField>
    <cacheField name="Recovery Rate" numFmtId="0">
      <sharedItems containsSemiMixedTypes="0" containsString="0" containsNumber="1" minValue="85.7531829068448" maxValue="99.3330444224322" count="10">
        <n v="97.1037339361086"/>
        <n v="97.2563877191874"/>
        <n v="85.7531829068448"/>
        <n v="97.7687454123009"/>
        <n v="94.6006075915928"/>
        <n v="97.7819601282587"/>
        <n v="97.3280138347416"/>
        <n v="98.4346866290112"/>
        <n v="97.4147313217202"/>
        <n v="99.333044422432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S.A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South Africa" numFmtId="0">
      <sharedItems containsSemiMixedTypes="0" containsString="0" containsNumber="1" containsInteger="1" minValue="3981739" maxValue="3987979" count="5">
        <n v="3981739"/>
        <n v="3984646"/>
        <n v="3985606"/>
        <n v="3986892"/>
        <n v="3987979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Mor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Morocco" numFmtId="0">
      <sharedItems containsSemiMixedTypes="0" containsString="0" containsNumber="1" containsInteger="1" minValue="1179474" maxValue="1189656" count="5">
        <n v="1179474"/>
        <n v="1182776"/>
        <n v="1184732"/>
        <n v="1186597"/>
        <n v="1189656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Tun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Tunisia" numFmtId="0">
      <sharedItems containsSemiMixedTypes="0" containsString="0" containsNumber="1" containsInteger="1" minValue="1044426" maxValue="1046703" count="2">
        <n v="1044426"/>
        <n v="1046703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Egy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Egypt" numFmtId="0">
      <sharedItems containsSemiMixedTypes="0" containsString="0" containsNumber="1" containsInteger="1" minValue="515645" maxValue="515645" count="1">
        <n v="515645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Libya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Libya" numFmtId="0">
      <sharedItems containsSemiMixedTypes="0" containsString="0" containsNumber="1" containsInteger="1" minValue="502076" maxValue="502110" count="2">
        <n v="502076"/>
        <n v="502110"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Ethopia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Ethiopia" numFmtId="0">
      <sharedItems containsSemiMixedTypes="0" containsString="0" containsNumber="1" containsInteger="1" minValue="481225" maxValue="485047" count="5">
        <n v="481225"/>
        <n v="482888"/>
        <n v="483739"/>
        <n v="484536"/>
        <n v="485047"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Reunion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Réunion" numFmtId="0">
      <sharedItems containsSemiMixedTypes="0" containsString="0" containsNumber="1" containsInteger="1" minValue="419968" maxValue="421269" count="2">
        <n v="419968"/>
        <n v="421269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Kenya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Kenya" numFmtId="0">
      <sharedItems containsSemiMixedTypes="0" containsString="0" containsNumber="1" containsInteger="1" minValue="327892" maxValue="330024" count="5">
        <n v="327892"/>
        <n v="328709"/>
        <n v="329107"/>
        <n v="329605"/>
        <n v="330024"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Zambia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Zambia" numFmtId="0">
      <sharedItems containsSemiMixedTypes="0" containsString="0" containsNumber="1" containsInteger="1" minValue="323654" maxValue="324558" count="4">
        <n v="323654"/>
        <n v="324025"/>
        <n v="324344"/>
        <n v="324558"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Botswana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Botswana" numFmtId="0">
      <sharedItems containsSemiMixedTypes="0" containsString="0" containsNumber="1" containsInteger="1" minValue="314242" maxValue="318528" count="2">
        <n v="314242"/>
        <n v="318528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10">
  <cacheSource type="worksheet">
    <worksheetSource name="Table3"/>
  </cacheSource>
  <cacheFields count="14">
    <cacheField name="#" numFmtId="0">
      <sharedItems containsSemiMixedTypes="0" containsString="0" containsNumber="1" containsInteger="1" minValue="49" maxValue="58" count="10">
        <n v="49"/>
        <n v="50"/>
        <n v="51"/>
        <n v="52"/>
        <n v="53"/>
        <n v="54"/>
        <n v="55"/>
        <n v="56"/>
        <n v="57"/>
        <n v="58"/>
      </sharedItems>
    </cacheField>
    <cacheField name="Country," numFmtId="0">
      <sharedItems count="10">
        <s v="Eritrea"/>
        <s v="Niger"/>
        <s v="Guinea-Bissau"/>
        <s v="Comoros"/>
        <s v="Sierra Leone"/>
        <s v="Liberia"/>
        <s v="Chad"/>
        <s v="Sao Tome and Principe"/>
        <s v="Western Sahara"/>
        <s v="Saint Helena"/>
      </sharedItems>
    </cacheField>
    <cacheField name="Total Cases" numFmtId="0">
      <sharedItems containsSemiMixedTypes="0" containsString="0" containsNumber="1" containsInteger="1" minValue="2" maxValue="9777" count="10">
        <n v="9777"/>
        <n v="9031"/>
        <n v="8307"/>
        <n v="8100"/>
        <n v="7688"/>
        <n v="7493"/>
        <n v="7424"/>
        <n v="6023"/>
        <n v="10"/>
        <n v="2"/>
      </sharedItems>
    </cacheField>
    <cacheField name="Total Deaths" numFmtId="0">
      <sharedItems containsString="0" containsBlank="1" containsNumber="1" containsInteger="1" minValue="1" maxValue="310" count="10">
        <n v="103"/>
        <n v="310"/>
        <n v="171"/>
        <n v="160"/>
        <n v="125"/>
        <n v="294"/>
        <n v="193"/>
        <n v="73"/>
        <n v="1"/>
        <m/>
      </sharedItems>
    </cacheField>
    <cacheField name="Total Recovered" numFmtId="0">
      <sharedItems containsString="0" containsBlank="1" containsNumber="1" containsInteger="1" minValue="2" maxValue="9667" count="10">
        <n v="9667"/>
        <n v="8628"/>
        <n v="8085"/>
        <n v="7933"/>
        <m/>
        <n v="5747"/>
        <n v="4874"/>
        <n v="5937"/>
        <n v="9"/>
        <n v="2"/>
      </sharedItems>
    </cacheField>
    <cacheField name="Active Cases" numFmtId="0">
      <sharedItems containsString="0" containsBlank="1" containsNumber="1" containsInteger="1" minValue="0" maxValue="2357" count="8">
        <n v="7"/>
        <n v="93"/>
        <n v="51"/>
        <m/>
        <n v="1452"/>
        <n v="2357"/>
        <n v="13"/>
        <n v="0"/>
      </sharedItems>
    </cacheField>
    <cacheField name="Serious Critical" numFmtId="0">
      <sharedItems containsSemiMixedTypes="0" containsString="0" containsNumber="1" containsInteger="1" minValue="0" maxValue="6" count="4">
        <n v="0"/>
        <n v="1"/>
        <n v="6"/>
        <n v="2"/>
      </sharedItems>
    </cacheField>
    <cacheField name="Tot Cases/ 1M Pop" numFmtId="0">
      <sharedItems containsSemiMixedTypes="0" containsString="0" containsNumber="1" containsInteger="1" minValue="16" maxValue="26516" count="10">
        <n v="2684"/>
        <n v="348"/>
        <n v="4034"/>
        <n v="8941"/>
        <n v="927"/>
        <n v="1416"/>
        <n v="428"/>
        <n v="26516"/>
        <n v="16"/>
        <n v="327"/>
      </sharedItems>
    </cacheField>
    <cacheField name="Deaths/ 1M Pop" numFmtId="0">
      <sharedItems containsString="0" containsBlank="1" containsNumber="1" containsInteger="1" minValue="2" maxValue="321" count="10">
        <n v="28"/>
        <n v="12"/>
        <n v="83"/>
        <n v="177"/>
        <n v="15"/>
        <n v="56"/>
        <n v="11"/>
        <n v="321"/>
        <n v="2"/>
        <m/>
      </sharedItems>
    </cacheField>
    <cacheField name="Total Tests" numFmtId="0">
      <sharedItems containsString="0" containsBlank="1" containsNumber="1" containsInteger="1" minValue="23693" maxValue="259958" count="8">
        <n v="23693"/>
        <n v="254538"/>
        <n v="141581"/>
        <m/>
        <n v="259958"/>
        <n v="139824"/>
        <n v="191341"/>
        <n v="29036"/>
      </sharedItems>
    </cacheField>
    <cacheField name="Tests/ 1M Pop" numFmtId="0">
      <sharedItems containsString="0" containsBlank="1" containsNumber="1" containsInteger="1" minValue="6504" maxValue="127828" count="8">
        <n v="6504"/>
        <n v="9818"/>
        <n v="68752"/>
        <m/>
        <n v="31337"/>
        <n v="26427"/>
        <n v="11028"/>
        <n v="127828"/>
      </sharedItems>
    </cacheField>
    <cacheField name=" Population " numFmtId="177">
      <sharedItems containsSemiMixedTypes="0" containsString="0" containsNumber="1" containsInteger="1" minValue="6112" maxValue="25926595" count="10">
        <n v="3642792"/>
        <n v="25926595"/>
        <n v="2059314"/>
        <n v="905968"/>
        <n v="8295458"/>
        <n v="5291049"/>
        <n v="17351102"/>
        <n v="227149"/>
        <n v="626170"/>
        <n v="6112"/>
      </sharedItems>
    </cacheField>
    <cacheField name="mortality rate" numFmtId="3">
      <sharedItems containsSemiMixedTypes="0" containsString="0" containsNumber="1" minValue="0" maxValue="10" count="10">
        <n v="1.05349289148"/>
        <n v="3.43262097220684"/>
        <n v="2.05850487540628"/>
        <n v="1.97530864197531"/>
        <n v="1.62591050988554"/>
        <n v="3.9236620846123"/>
        <n v="2.59967672413793"/>
        <n v="1.21202058774697"/>
        <n v="10"/>
        <n v="0"/>
      </sharedItems>
    </cacheField>
    <cacheField name="recovered rate " numFmtId="3">
      <sharedItems containsSemiMixedTypes="0" containsString="0" containsNumber="1" minValue="0" maxValue="100" count="10">
        <n v="98.8749105042447"/>
        <n v="95.5375927361311"/>
        <n v="97.3275550740339"/>
        <n v="97.9382716049383"/>
        <n v="0"/>
        <n v="76.6982517015881"/>
        <n v="65.6519396551724"/>
        <n v="98.5721401295036"/>
        <n v="90"/>
        <n v="100"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0.430150463" refreshedBy="HP" recordCount="7">
  <cacheSource type="worksheet">
    <worksheetSource ref="A1:A1" sheet="COVID- Africa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Saint Helena" numFmtId="0">
      <sharedItems containsSemiMixedTypes="0" containsString="0" containsNumber="1" containsInteger="1" minValue="2" maxValue="2" count="1">
        <n v="2"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West Sah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Western Sahara" numFmtId="0">
      <sharedItems containsSemiMixedTypes="0" containsString="0" containsNumber="1" containsInteger="1" minValue="10" maxValue="10" count="1">
        <n v="10"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SaoTome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Sao Tome and Principe" numFmtId="0">
      <sharedItems containsSemiMixedTypes="0" containsString="0" containsNumber="1" containsInteger="1" minValue="6010" maxValue="6023" count="2">
        <n v="6010"/>
        <n v="6023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Chad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Chad" numFmtId="0">
      <sharedItems containsSemiMixedTypes="0" containsString="0" containsNumber="1" containsInteger="1" minValue="7420" maxValue="7424" count="2">
        <n v="7420"/>
        <n v="7424"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Lib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Liberia" numFmtId="0">
      <sharedItems containsSemiMixedTypes="0" containsString="0" containsNumber="1" containsInteger="1" minValue="7460" maxValue="7493" count="3">
        <n v="7460"/>
        <n v="7489"/>
        <n v="7493"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Serra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Sierra Leone" numFmtId="0">
      <sharedItems containsSemiMixedTypes="0" containsString="0" containsNumber="1" containsInteger="1" minValue="7685" maxValue="7688" count="2">
        <n v="7685"/>
        <n v="7688"/>
      </sharedItems>
    </cacheField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Com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Comoros" numFmtId="0">
      <sharedItems containsSemiMixedTypes="0" containsString="0" containsNumber="1" containsInteger="1" minValue="8100" maxValue="8100" count="1">
        <n v="8100"/>
      </sharedItems>
    </cacheField>
  </cacheFields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Guinea-b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Guinea-Bissau" numFmtId="0">
      <sharedItems containsSemiMixedTypes="0" containsString="0" containsNumber="1" containsInteger="1" minValue="8307" maxValue="8347" count="2">
        <n v="8307"/>
        <n v="8347"/>
      </sharedItems>
    </cacheField>
  </cacheFields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Niger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Niger" numFmtId="0">
      <sharedItems containsSemiMixedTypes="0" containsString="0" containsNumber="1" containsInteger="1" minValue="9031" maxValue="9031" count="1">
        <n v="9031"/>
      </sharedItems>
    </cacheField>
  </cacheFields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1893055556" refreshedBy="HP" recordCount="7">
  <cacheSource type="worksheet">
    <worksheetSource ref="A1:C8" sheet="Eritrea" r:id="rId2"/>
  </cacheSource>
  <cacheFields count="3">
    <cacheField name="Trend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Date" numFmtId="0">
      <sharedItems count="7">
        <s v="15/6/2022"/>
        <s v="16/6/2022"/>
        <s v="17/6/2022"/>
        <s v="18/6/2022"/>
        <s v="19/6/2022"/>
        <s v="20/6/2022"/>
        <s v="21/6/2022"/>
      </sharedItems>
    </cacheField>
    <cacheField name="Eritrea" numFmtId="0">
      <sharedItems containsSemiMixedTypes="0" containsString="0" containsNumber="1" containsInteger="1" minValue="9773" maxValue="9782" count="4">
        <n v="9773"/>
        <n v="9775"/>
        <n v="9777"/>
        <n v="9782"/>
      </sharedItems>
    </cacheField>
  </cacheFields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1.9783912037" refreshedBy="HP" recordCount="10">
  <cacheSource type="worksheet">
    <worksheetSource ref="A1:A1" sheet="COVID- Africa"/>
  </cacheSource>
  <cacheFields count="14">
    <cacheField name="#" numFmtId="0">
      <sharedItems containsSemiMixedTypes="0" containsString="0" containsNumber="1" containsInteger="1" minValue="49" maxValue="58" count="10">
        <n v="49"/>
        <n v="50"/>
        <n v="51"/>
        <n v="52"/>
        <n v="53"/>
        <n v="54"/>
        <n v="55"/>
        <n v="56"/>
        <n v="57"/>
        <n v="58"/>
      </sharedItems>
    </cacheField>
    <cacheField name="Country," numFmtId="0">
      <sharedItems count="10">
        <s v="Eritrea"/>
        <s v="Niger"/>
        <s v="Guinea-Bissau"/>
        <s v="Comoros"/>
        <s v="Sierra Leone"/>
        <s v="Liberia"/>
        <s v="Chad"/>
        <s v="Sao Tome and Principe"/>
        <s v="Western Sahara"/>
        <s v="Saint Helena"/>
      </sharedItems>
    </cacheField>
    <cacheField name="Total Cases" numFmtId="0">
      <sharedItems containsSemiMixedTypes="0" containsString="0" containsNumber="1" containsInteger="1" minValue="2" maxValue="9777" count="10">
        <n v="9777"/>
        <n v="9031"/>
        <n v="8307"/>
        <n v="8100"/>
        <n v="7688"/>
        <n v="7493"/>
        <n v="7424"/>
        <n v="6023"/>
        <n v="10"/>
        <n v="2"/>
      </sharedItems>
    </cacheField>
    <cacheField name="Total Deaths" numFmtId="0">
      <sharedItems containsSemiMixedTypes="0" containsString="0" containsNumber="1" containsInteger="1" minValue="0" maxValue="310" count="10">
        <n v="103"/>
        <n v="310"/>
        <n v="171"/>
        <n v="160"/>
        <n v="125"/>
        <n v="294"/>
        <n v="193"/>
        <n v="73"/>
        <n v="1"/>
        <n v="0"/>
      </sharedItems>
    </cacheField>
    <cacheField name="Total Recovered" numFmtId="0">
      <sharedItems containsSemiMixedTypes="0" containsString="0" containsNumber="1" containsInteger="1" minValue="2" maxValue="9667" count="10">
        <n v="9667"/>
        <n v="8628"/>
        <n v="8085"/>
        <n v="7933"/>
        <n v="7563"/>
        <n v="5747"/>
        <n v="4874"/>
        <n v="5937"/>
        <n v="9"/>
        <n v="2"/>
      </sharedItems>
    </cacheField>
    <cacheField name="Active Cases" numFmtId="0">
      <sharedItems containsSemiMixedTypes="0" containsString="0" containsNumber="1" containsInteger="1" minValue="0" maxValue="2357" count="7">
        <n v="7"/>
        <n v="93"/>
        <n v="51"/>
        <n v="0"/>
        <n v="1452"/>
        <n v="2357"/>
        <n v="13"/>
      </sharedItems>
    </cacheField>
    <cacheField name="Serious Critical" numFmtId="0">
      <sharedItems containsSemiMixedTypes="0" containsString="0" containsNumber="1" containsInteger="1" minValue="0" maxValue="6" count="4">
        <n v="0"/>
        <n v="1"/>
        <n v="6"/>
        <n v="2"/>
      </sharedItems>
    </cacheField>
    <cacheField name="Tot Cases/ 1M Pop" numFmtId="0">
      <sharedItems containsSemiMixedTypes="0" containsString="0" containsNumber="1" containsInteger="1" minValue="16" maxValue="26516" count="10">
        <n v="2684"/>
        <n v="348"/>
        <n v="4034"/>
        <n v="8941"/>
        <n v="927"/>
        <n v="1416"/>
        <n v="428"/>
        <n v="26516"/>
        <n v="16"/>
        <n v="327"/>
      </sharedItems>
    </cacheField>
    <cacheField name="Deaths/ 1M Pop" numFmtId="0">
      <sharedItems containsString="0" containsBlank="1" containsNumber="1" containsInteger="1" minValue="2" maxValue="321" count="10">
        <n v="28"/>
        <n v="12"/>
        <n v="83"/>
        <n v="177"/>
        <n v="15"/>
        <n v="56"/>
        <n v="11"/>
        <n v="321"/>
        <n v="2"/>
        <m/>
      </sharedItems>
    </cacheField>
    <cacheField name="Total Tests" numFmtId="0">
      <sharedItems containsString="0" containsBlank="1" containsNumber="1" containsInteger="1" minValue="23693" maxValue="259958" count="8">
        <n v="23693"/>
        <n v="254538"/>
        <n v="141581"/>
        <m/>
        <n v="259958"/>
        <n v="139824"/>
        <n v="191341"/>
        <n v="29036"/>
      </sharedItems>
    </cacheField>
    <cacheField name="Tests/ 1M Pop" numFmtId="0">
      <sharedItems containsString="0" containsBlank="1" containsNumber="1" containsInteger="1" minValue="6504" maxValue="127828" count="8">
        <n v="6504"/>
        <n v="9818"/>
        <n v="68752"/>
        <m/>
        <n v="31337"/>
        <n v="26427"/>
        <n v="11028"/>
        <n v="127828"/>
      </sharedItems>
    </cacheField>
    <cacheField name="Population" numFmtId="177">
      <sharedItems containsSemiMixedTypes="0" containsString="0" containsNumber="1" containsInteger="1" minValue="6112" maxValue="25926595" count="10">
        <n v="3642792"/>
        <n v="25926595"/>
        <n v="2059314"/>
        <n v="905968"/>
        <n v="8295458"/>
        <n v="5291049"/>
        <n v="17351102"/>
        <n v="227149"/>
        <n v="626170"/>
        <n v="6112"/>
      </sharedItems>
    </cacheField>
    <cacheField name="Mortality Rate" numFmtId="0">
      <sharedItems containsSemiMixedTypes="0" containsString="0" containsNumber="1" minValue="0" maxValue="10" count="10">
        <n v="1.05349289148"/>
        <n v="3.43262097220684"/>
        <n v="2.05850487540628"/>
        <n v="1.97530864197531"/>
        <n v="1.62591050988554"/>
        <n v="3.9236620846123"/>
        <n v="2.59967672413793"/>
        <n v="1.21202058774697"/>
        <n v="10"/>
        <n v="0"/>
      </sharedItems>
    </cacheField>
    <cacheField name="Recovery Rate" numFmtId="0">
      <sharedItems containsSemiMixedTypes="0" containsString="0" containsNumber="1" minValue="65.6519396551724" maxValue="100" count="10">
        <n v="98.8749105042447"/>
        <n v="95.5375927361311"/>
        <n v="97.3275550740339"/>
        <n v="97.9382716049383"/>
        <n v="98.3740894901145"/>
        <n v="76.6982517015881"/>
        <n v="65.6519396551724"/>
        <n v="98.5721401295036"/>
        <n v="90"/>
        <n v="100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1.9783912037" refreshedBy="HP" recordCount="20">
  <cacheSource type="worksheet">
    <worksheetSource ref="A1:A1" sheet="COVID- Africa"/>
  </cacheSource>
  <cacheFields count="12">
    <cacheField name="S/N" numFmtId="0">
      <sharedItems containsSemiMixedTypes="0" containsString="0" containsNumber="1" containsInteger="1" minValue="1" maxValue="58" count="20">
        <n v="1"/>
        <n v="3"/>
        <n v="4"/>
        <n v="2"/>
        <n v="6"/>
        <n v="5"/>
        <n v="8"/>
        <n v="9"/>
        <n v="10"/>
        <n v="7"/>
        <n v="50"/>
        <n v="54"/>
        <n v="55"/>
        <n v="51"/>
        <n v="52"/>
        <n v="53"/>
        <n v="49"/>
        <n v="56"/>
        <n v="57"/>
        <n v="58"/>
      </sharedItems>
    </cacheField>
    <cacheField name="Country," numFmtId="0">
      <sharedItems count="20">
        <s v="South Africa"/>
        <s v="Tunisia"/>
        <s v="Egypt"/>
        <s v="Morocco"/>
        <s v="Ethiopia"/>
        <s v="Libya"/>
        <s v="Kenya"/>
        <s v="Zambia"/>
        <s v="Botswana"/>
        <s v="Réunion"/>
        <s v="Niger"/>
        <s v="Liberia"/>
        <s v="Chad"/>
        <s v="Guinea-Bissau"/>
        <s v="Comoros"/>
        <s v="Sierra Leone"/>
        <s v="Eritrea"/>
        <s v="Sao Tome and Principe"/>
        <s v="Western Sahara"/>
        <s v="Saint Helena"/>
      </sharedItems>
    </cacheField>
    <cacheField name="Total Cases" numFmtId="0">
      <sharedItems containsSemiMixedTypes="0" containsString="0" containsNumber="1" containsInteger="1" minValue="2" maxValue="3986892" count="20">
        <n v="3986892"/>
        <n v="1044426"/>
        <n v="515645"/>
        <n v="1186597"/>
        <n v="484536"/>
        <n v="502110"/>
        <n v="329605"/>
        <n v="324344"/>
        <n v="314242"/>
        <n v="419968"/>
        <n v="9031"/>
        <n v="7493"/>
        <n v="7424"/>
        <n v="8307"/>
        <n v="8100"/>
        <n v="7688"/>
        <n v="9777"/>
        <n v="6023"/>
        <n v="10"/>
        <n v="2"/>
      </sharedItems>
    </cacheField>
    <cacheField name="Total Deaths" numFmtId="0">
      <sharedItems containsSemiMixedTypes="0" containsString="0" containsNumber="1" containsInteger="1" minValue="0" maxValue="101620" count="20">
        <n v="101620"/>
        <n v="28655"/>
        <n v="24613"/>
        <n v="16087"/>
        <n v="7524"/>
        <n v="6430"/>
        <n v="5651"/>
        <n v="3997"/>
        <n v="2709"/>
        <n v="799"/>
        <n v="310"/>
        <n v="294"/>
        <n v="193"/>
        <n v="171"/>
        <n v="160"/>
        <n v="125"/>
        <n v="103"/>
        <n v="73"/>
        <n v="1"/>
        <n v="0"/>
      </sharedItems>
    </cacheField>
    <cacheField name="Total Recovered" numFmtId="0">
      <sharedItems containsString="0" containsBlank="1" containsNumber="1" containsInteger="1" minValue="2" maxValue="3871421" count="19">
        <n v="3871421"/>
        <m/>
        <n v="442182"/>
        <n v="1160121"/>
        <n v="458374"/>
        <n v="490973"/>
        <n v="320798"/>
        <n v="319267"/>
        <n v="306118"/>
        <n v="417167"/>
        <n v="8628"/>
        <n v="5747"/>
        <n v="4874"/>
        <n v="8085"/>
        <n v="7933"/>
        <n v="9667"/>
        <n v="5937"/>
        <n v="9"/>
        <n v="2"/>
      </sharedItems>
    </cacheField>
    <cacheField name="Active Cases" numFmtId="0">
      <sharedItems containsString="0" containsBlank="1" containsNumber="1" containsInteger="1" minValue="0" maxValue="48850" count="17">
        <n v="13851"/>
        <m/>
        <n v="48850"/>
        <n v="10389"/>
        <n v="18638"/>
        <n v="4707"/>
        <n v="3156"/>
        <n v="1080"/>
        <n v="5415"/>
        <n v="2002"/>
        <n v="93"/>
        <n v="1452"/>
        <n v="2357"/>
        <n v="51"/>
        <n v="7"/>
        <n v="13"/>
        <n v="0"/>
      </sharedItems>
    </cacheField>
    <cacheField name="Serious Critical" numFmtId="0">
      <sharedItems containsSemiMixedTypes="0" containsString="0" containsNumber="1" containsInteger="1" minValue="0" maxValue="293" count="11">
        <n v="192"/>
        <n v="29"/>
        <n v="122"/>
        <n v="293"/>
        <n v="39"/>
        <n v="101"/>
        <n v="1"/>
        <n v="10"/>
        <n v="2"/>
        <n v="0"/>
        <n v="6"/>
      </sharedItems>
    </cacheField>
    <cacheField name="Tot Cases/ 1M Pop" numFmtId="0">
      <sharedItems containsSemiMixedTypes="0" containsString="0" containsNumber="1" containsInteger="1" minValue="16" maxValue="462593" count="20">
        <n v="65599"/>
        <n v="86592"/>
        <n v="4859"/>
        <n v="31417"/>
        <n v="4019"/>
        <n v="71173"/>
        <n v="5876"/>
        <n v="16723"/>
        <n v="128532"/>
        <n v="462593"/>
        <n v="348"/>
        <n v="1416"/>
        <n v="428"/>
        <n v="4034"/>
        <n v="8941"/>
        <n v="927"/>
        <n v="2684"/>
        <n v="26516"/>
        <n v="16"/>
        <n v="327"/>
      </sharedItems>
    </cacheField>
    <cacheField name="Deaths/ 1M Pop" numFmtId="0">
      <sharedItems containsString="0" containsBlank="1" containsNumber="1" containsInteger="1" minValue="2" maxValue="2376" count="20">
        <n v="1672"/>
        <n v="2376"/>
        <n v="232"/>
        <n v="426"/>
        <n v="62"/>
        <n v="911"/>
        <n v="101"/>
        <n v="206"/>
        <n v="1108"/>
        <n v="880"/>
        <n v="12"/>
        <n v="56"/>
        <n v="11"/>
        <n v="83"/>
        <n v="177"/>
        <n v="15"/>
        <n v="28"/>
        <n v="321"/>
        <n v="2"/>
        <m/>
      </sharedItems>
    </cacheField>
    <cacheField name="Total Tests" numFmtId="0">
      <sharedItems containsString="0" containsBlank="1" containsNumber="1" containsInteger="1" minValue="23693" maxValue="25604409" count="18">
        <n v="25604409"/>
        <n v="4647813"/>
        <n v="3693367"/>
        <n v="11804007"/>
        <n v="5020764"/>
        <n v="2477219"/>
        <n v="3724555"/>
        <n v="3525519"/>
        <n v="2026898"/>
        <n v="1603660"/>
        <n v="254538"/>
        <n v="139824"/>
        <n v="191341"/>
        <n v="141581"/>
        <m/>
        <n v="259958"/>
        <n v="23693"/>
        <n v="29036"/>
      </sharedItems>
    </cacheField>
    <cacheField name="Tests/ 1M Pop" numFmtId="0">
      <sharedItems containsString="0" containsBlank="1" containsNumber="1" containsInteger="1" minValue="6504" maxValue="1766424" count="18">
        <n v="421285"/>
        <n v="385345"/>
        <n v="34802"/>
        <n v="312527"/>
        <n v="41647"/>
        <n v="351142"/>
        <n v="66395"/>
        <n v="181778"/>
        <n v="829049"/>
        <n v="1766424"/>
        <n v="9818"/>
        <n v="26427"/>
        <n v="11028"/>
        <n v="68752"/>
        <m/>
        <n v="31337"/>
        <n v="6504"/>
        <n v="127828"/>
      </sharedItems>
    </cacheField>
    <cacheField name="Population" numFmtId="177">
      <sharedItems containsSemiMixedTypes="0" containsString="0" containsNumber="1" containsInteger="1" minValue="6112" maxValue="120553858" count="20">
        <n v="60776880"/>
        <n v="12061430"/>
        <n v="106123802"/>
        <n v="37769553"/>
        <n v="120553858"/>
        <n v="7054748"/>
        <n v="56096568"/>
        <n v="19394630"/>
        <n v="2444846"/>
        <n v="907857"/>
        <n v="25926595"/>
        <n v="5291049"/>
        <n v="17351102"/>
        <n v="2059314"/>
        <n v="905968"/>
        <n v="8295458"/>
        <n v="3642792"/>
        <n v="227149"/>
        <n v="626170"/>
        <n v="6112"/>
      </sharedItems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  <x v="3"/>
    <x v="3"/>
    <x v="3"/>
    <x v="3"/>
    <x v="3"/>
  </r>
  <r>
    <x v="4"/>
    <x v="4"/>
    <x v="4"/>
    <x v="4"/>
    <x v="4"/>
    <x v="4"/>
    <x v="4"/>
    <x v="4"/>
    <x v="4"/>
    <x v="4"/>
    <x v="4"/>
    <x v="4"/>
    <x v="4"/>
    <x v="4"/>
  </r>
  <r>
    <x v="5"/>
    <x v="5"/>
    <x v="5"/>
    <x v="5"/>
    <x v="5"/>
    <x v="5"/>
    <x v="5"/>
    <x v="5"/>
    <x v="5"/>
    <x v="5"/>
    <x v="5"/>
    <x v="5"/>
    <x v="5"/>
    <x v="5"/>
  </r>
  <r>
    <x v="6"/>
    <x v="6"/>
    <x v="6"/>
    <x v="6"/>
    <x v="6"/>
    <x v="6"/>
    <x v="6"/>
    <x v="6"/>
    <x v="6"/>
    <x v="6"/>
    <x v="6"/>
    <x v="6"/>
    <x v="6"/>
    <x v="6"/>
  </r>
  <r>
    <x v="7"/>
    <x v="7"/>
    <x v="7"/>
    <x v="7"/>
    <x v="7"/>
    <x v="7"/>
    <x v="6"/>
    <x v="7"/>
    <x v="7"/>
    <x v="7"/>
    <x v="7"/>
    <x v="7"/>
    <x v="7"/>
    <x v="7"/>
  </r>
  <r>
    <x v="8"/>
    <x v="8"/>
    <x v="8"/>
    <x v="8"/>
    <x v="8"/>
    <x v="8"/>
    <x v="6"/>
    <x v="8"/>
    <x v="8"/>
    <x v="8"/>
    <x v="8"/>
    <x v="8"/>
    <x v="8"/>
    <x v="8"/>
  </r>
  <r>
    <x v="9"/>
    <x v="9"/>
    <x v="9"/>
    <x v="9"/>
    <x v="9"/>
    <x v="9"/>
    <x v="7"/>
    <x v="9"/>
    <x v="9"/>
    <x v="9"/>
    <x v="9"/>
    <x v="9"/>
    <x v="9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1"/>
  </r>
  <r>
    <x v="3"/>
    <x v="3"/>
    <x v="2"/>
  </r>
  <r>
    <x v="4"/>
    <x v="4"/>
    <x v="2"/>
  </r>
  <r>
    <x v="5"/>
    <x v="5"/>
    <x v="3"/>
  </r>
  <r>
    <x v="6"/>
    <x v="6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1"/>
  </r>
  <r>
    <x v="3"/>
    <x v="3"/>
    <x v="2"/>
  </r>
  <r>
    <x v="4"/>
    <x v="4"/>
    <x v="2"/>
  </r>
  <r>
    <x v="5"/>
    <x v="5"/>
    <x v="3"/>
  </r>
  <r>
    <x v="6"/>
    <x v="6"/>
    <x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1"/>
  </r>
  <r>
    <x v="6"/>
    <x v="6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1"/>
  </r>
  <r>
    <x v="3"/>
    <x v="3"/>
    <x v="2"/>
  </r>
  <r>
    <x v="4"/>
    <x v="4"/>
    <x v="2"/>
  </r>
  <r>
    <x v="5"/>
    <x v="5"/>
    <x v="3"/>
  </r>
  <r>
    <x v="6"/>
    <x v="6"/>
    <x v="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1"/>
  </r>
  <r>
    <x v="3"/>
    <x v="3"/>
    <x v="2"/>
  </r>
  <r>
    <x v="4"/>
    <x v="4"/>
    <x v="2"/>
  </r>
  <r>
    <x v="5"/>
    <x v="5"/>
    <x v="3"/>
  </r>
  <r>
    <x v="6"/>
    <x v="6"/>
    <x v="4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1"/>
  </r>
  <r>
    <x v="3"/>
    <x v="3"/>
    <x v="1"/>
  </r>
  <r>
    <x v="4"/>
    <x v="4"/>
    <x v="1"/>
  </r>
  <r>
    <x v="5"/>
    <x v="5"/>
    <x v="2"/>
  </r>
  <r>
    <x v="6"/>
    <x v="6"/>
    <x v="3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  <x v="2"/>
    <x v="2"/>
    <x v="2"/>
  </r>
  <r>
    <x v="3"/>
    <x v="3"/>
    <x v="3"/>
    <x v="3"/>
    <x v="3"/>
    <x v="0"/>
    <x v="0"/>
    <x v="3"/>
    <x v="3"/>
    <x v="3"/>
    <x v="3"/>
    <x v="3"/>
    <x v="3"/>
    <x v="3"/>
  </r>
  <r>
    <x v="4"/>
    <x v="4"/>
    <x v="4"/>
    <x v="4"/>
    <x v="4"/>
    <x v="3"/>
    <x v="0"/>
    <x v="4"/>
    <x v="4"/>
    <x v="4"/>
    <x v="4"/>
    <x v="4"/>
    <x v="4"/>
    <x v="4"/>
  </r>
  <r>
    <x v="5"/>
    <x v="5"/>
    <x v="5"/>
    <x v="5"/>
    <x v="5"/>
    <x v="4"/>
    <x v="3"/>
    <x v="5"/>
    <x v="5"/>
    <x v="5"/>
    <x v="5"/>
    <x v="5"/>
    <x v="5"/>
    <x v="5"/>
  </r>
  <r>
    <x v="6"/>
    <x v="6"/>
    <x v="6"/>
    <x v="6"/>
    <x v="6"/>
    <x v="5"/>
    <x v="0"/>
    <x v="6"/>
    <x v="6"/>
    <x v="6"/>
    <x v="6"/>
    <x v="6"/>
    <x v="6"/>
    <x v="6"/>
  </r>
  <r>
    <x v="7"/>
    <x v="7"/>
    <x v="7"/>
    <x v="7"/>
    <x v="7"/>
    <x v="6"/>
    <x v="0"/>
    <x v="7"/>
    <x v="7"/>
    <x v="7"/>
    <x v="7"/>
    <x v="7"/>
    <x v="7"/>
    <x v="7"/>
  </r>
  <r>
    <x v="8"/>
    <x v="8"/>
    <x v="8"/>
    <x v="8"/>
    <x v="8"/>
    <x v="7"/>
    <x v="0"/>
    <x v="8"/>
    <x v="8"/>
    <x v="3"/>
    <x v="3"/>
    <x v="8"/>
    <x v="8"/>
    <x v="8"/>
  </r>
  <r>
    <x v="9"/>
    <x v="9"/>
    <x v="9"/>
    <x v="9"/>
    <x v="9"/>
    <x v="7"/>
    <x v="0"/>
    <x v="9"/>
    <x v="9"/>
    <x v="3"/>
    <x v="3"/>
    <x v="9"/>
    <x v="9"/>
    <x v="9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1"/>
  </r>
  <r>
    <x v="6"/>
    <x v="6"/>
    <x v="1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1"/>
  </r>
  <r>
    <x v="6"/>
    <x v="6"/>
    <x v="1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1"/>
  </r>
  <r>
    <x v="3"/>
    <x v="3"/>
    <x v="1"/>
  </r>
  <r>
    <x v="4"/>
    <x v="4"/>
    <x v="1"/>
  </r>
  <r>
    <x v="5"/>
    <x v="5"/>
    <x v="2"/>
  </r>
  <r>
    <x v="6"/>
    <x v="6"/>
    <x v="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1"/>
  </r>
  <r>
    <x v="3"/>
    <x v="3"/>
    <x v="1"/>
  </r>
  <r>
    <x v="4"/>
    <x v="4"/>
    <x v="1"/>
  </r>
  <r>
    <x v="5"/>
    <x v="5"/>
    <x v="1"/>
  </r>
  <r>
    <x v="6"/>
    <x v="6"/>
    <x v="1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1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0"/>
  </r>
  <r>
    <x v="6"/>
    <x v="6"/>
    <x v="0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count="7">
  <r>
    <x v="0"/>
    <x v="0"/>
    <x v="0"/>
  </r>
  <r>
    <x v="1"/>
    <x v="1"/>
    <x v="0"/>
  </r>
  <r>
    <x v="2"/>
    <x v="2"/>
    <x v="1"/>
  </r>
  <r>
    <x v="3"/>
    <x v="3"/>
    <x v="2"/>
  </r>
  <r>
    <x v="4"/>
    <x v="4"/>
    <x v="2"/>
  </r>
  <r>
    <x v="5"/>
    <x v="5"/>
    <x v="2"/>
  </r>
  <r>
    <x v="6"/>
    <x v="6"/>
    <x v="3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count="1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  <x v="2"/>
    <x v="2"/>
    <x v="2"/>
  </r>
  <r>
    <x v="3"/>
    <x v="3"/>
    <x v="3"/>
    <x v="3"/>
    <x v="3"/>
    <x v="0"/>
    <x v="0"/>
    <x v="3"/>
    <x v="3"/>
    <x v="3"/>
    <x v="3"/>
    <x v="3"/>
    <x v="3"/>
    <x v="3"/>
  </r>
  <r>
    <x v="4"/>
    <x v="4"/>
    <x v="4"/>
    <x v="4"/>
    <x v="4"/>
    <x v="3"/>
    <x v="0"/>
    <x v="4"/>
    <x v="4"/>
    <x v="4"/>
    <x v="4"/>
    <x v="4"/>
    <x v="4"/>
    <x v="4"/>
  </r>
  <r>
    <x v="5"/>
    <x v="5"/>
    <x v="5"/>
    <x v="5"/>
    <x v="5"/>
    <x v="4"/>
    <x v="3"/>
    <x v="5"/>
    <x v="5"/>
    <x v="5"/>
    <x v="5"/>
    <x v="5"/>
    <x v="5"/>
    <x v="5"/>
  </r>
  <r>
    <x v="6"/>
    <x v="6"/>
    <x v="6"/>
    <x v="6"/>
    <x v="6"/>
    <x v="5"/>
    <x v="0"/>
    <x v="6"/>
    <x v="6"/>
    <x v="6"/>
    <x v="6"/>
    <x v="6"/>
    <x v="6"/>
    <x v="6"/>
  </r>
  <r>
    <x v="7"/>
    <x v="7"/>
    <x v="7"/>
    <x v="7"/>
    <x v="7"/>
    <x v="6"/>
    <x v="0"/>
    <x v="7"/>
    <x v="7"/>
    <x v="7"/>
    <x v="7"/>
    <x v="7"/>
    <x v="7"/>
    <x v="7"/>
  </r>
  <r>
    <x v="8"/>
    <x v="8"/>
    <x v="8"/>
    <x v="8"/>
    <x v="8"/>
    <x v="3"/>
    <x v="0"/>
    <x v="8"/>
    <x v="8"/>
    <x v="3"/>
    <x v="3"/>
    <x v="8"/>
    <x v="8"/>
    <x v="8"/>
  </r>
  <r>
    <x v="9"/>
    <x v="9"/>
    <x v="9"/>
    <x v="9"/>
    <x v="9"/>
    <x v="3"/>
    <x v="0"/>
    <x v="9"/>
    <x v="9"/>
    <x v="3"/>
    <x v="3"/>
    <x v="9"/>
    <x v="9"/>
    <x v="9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count="20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2"/>
    <x v="2"/>
    <x v="2"/>
  </r>
  <r>
    <x v="3"/>
    <x v="3"/>
    <x v="3"/>
    <x v="3"/>
    <x v="3"/>
    <x v="3"/>
    <x v="3"/>
    <x v="3"/>
    <x v="3"/>
    <x v="3"/>
    <x v="3"/>
    <x v="3"/>
  </r>
  <r>
    <x v="4"/>
    <x v="4"/>
    <x v="4"/>
    <x v="4"/>
    <x v="4"/>
    <x v="4"/>
    <x v="4"/>
    <x v="4"/>
    <x v="4"/>
    <x v="4"/>
    <x v="4"/>
    <x v="4"/>
  </r>
  <r>
    <x v="5"/>
    <x v="5"/>
    <x v="5"/>
    <x v="5"/>
    <x v="5"/>
    <x v="5"/>
    <x v="5"/>
    <x v="5"/>
    <x v="5"/>
    <x v="5"/>
    <x v="5"/>
    <x v="5"/>
  </r>
  <r>
    <x v="6"/>
    <x v="6"/>
    <x v="6"/>
    <x v="6"/>
    <x v="6"/>
    <x v="6"/>
    <x v="6"/>
    <x v="6"/>
    <x v="6"/>
    <x v="6"/>
    <x v="6"/>
    <x v="6"/>
  </r>
  <r>
    <x v="7"/>
    <x v="7"/>
    <x v="7"/>
    <x v="7"/>
    <x v="7"/>
    <x v="7"/>
    <x v="6"/>
    <x v="7"/>
    <x v="7"/>
    <x v="7"/>
    <x v="7"/>
    <x v="7"/>
  </r>
  <r>
    <x v="8"/>
    <x v="8"/>
    <x v="8"/>
    <x v="8"/>
    <x v="8"/>
    <x v="8"/>
    <x v="6"/>
    <x v="8"/>
    <x v="8"/>
    <x v="8"/>
    <x v="8"/>
    <x v="8"/>
  </r>
  <r>
    <x v="9"/>
    <x v="9"/>
    <x v="9"/>
    <x v="9"/>
    <x v="9"/>
    <x v="9"/>
    <x v="7"/>
    <x v="9"/>
    <x v="9"/>
    <x v="9"/>
    <x v="9"/>
    <x v="9"/>
  </r>
  <r>
    <x v="10"/>
    <x v="10"/>
    <x v="10"/>
    <x v="10"/>
    <x v="10"/>
    <x v="10"/>
    <x v="6"/>
    <x v="10"/>
    <x v="10"/>
    <x v="10"/>
    <x v="10"/>
    <x v="10"/>
  </r>
  <r>
    <x v="11"/>
    <x v="11"/>
    <x v="11"/>
    <x v="11"/>
    <x v="11"/>
    <x v="11"/>
    <x v="8"/>
    <x v="11"/>
    <x v="11"/>
    <x v="11"/>
    <x v="11"/>
    <x v="11"/>
  </r>
  <r>
    <x v="12"/>
    <x v="12"/>
    <x v="12"/>
    <x v="12"/>
    <x v="12"/>
    <x v="12"/>
    <x v="9"/>
    <x v="12"/>
    <x v="12"/>
    <x v="12"/>
    <x v="12"/>
    <x v="12"/>
  </r>
  <r>
    <x v="13"/>
    <x v="13"/>
    <x v="13"/>
    <x v="13"/>
    <x v="13"/>
    <x v="13"/>
    <x v="10"/>
    <x v="13"/>
    <x v="13"/>
    <x v="13"/>
    <x v="13"/>
    <x v="13"/>
  </r>
  <r>
    <x v="14"/>
    <x v="14"/>
    <x v="14"/>
    <x v="14"/>
    <x v="14"/>
    <x v="14"/>
    <x v="9"/>
    <x v="14"/>
    <x v="14"/>
    <x v="14"/>
    <x v="14"/>
    <x v="14"/>
  </r>
  <r>
    <x v="15"/>
    <x v="15"/>
    <x v="15"/>
    <x v="15"/>
    <x v="1"/>
    <x v="1"/>
    <x v="9"/>
    <x v="15"/>
    <x v="15"/>
    <x v="15"/>
    <x v="15"/>
    <x v="15"/>
  </r>
  <r>
    <x v="16"/>
    <x v="16"/>
    <x v="16"/>
    <x v="16"/>
    <x v="15"/>
    <x v="14"/>
    <x v="9"/>
    <x v="16"/>
    <x v="16"/>
    <x v="16"/>
    <x v="16"/>
    <x v="16"/>
  </r>
  <r>
    <x v="17"/>
    <x v="17"/>
    <x v="17"/>
    <x v="17"/>
    <x v="16"/>
    <x v="15"/>
    <x v="9"/>
    <x v="17"/>
    <x v="17"/>
    <x v="17"/>
    <x v="17"/>
    <x v="17"/>
  </r>
  <r>
    <x v="18"/>
    <x v="18"/>
    <x v="18"/>
    <x v="18"/>
    <x v="17"/>
    <x v="16"/>
    <x v="9"/>
    <x v="18"/>
    <x v="18"/>
    <x v="14"/>
    <x v="14"/>
    <x v="18"/>
  </r>
  <r>
    <x v="19"/>
    <x v="19"/>
    <x v="19"/>
    <x v="19"/>
    <x v="18"/>
    <x v="16"/>
    <x v="9"/>
    <x v="19"/>
    <x v="19"/>
    <x v="14"/>
    <x v="14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compact="0" showAll="0">
      <items count="11">
        <item h="1" x="8"/>
        <item h="1" x="2"/>
        <item h="1" x="4"/>
        <item h="1" x="6"/>
        <item h="1" x="5"/>
        <item h="1" x="3"/>
        <item h="1" x="9"/>
        <item h="1" x="0"/>
        <item h="1" x="1"/>
        <item x="7"/>
        <item t="default"/>
      </items>
    </pivotField>
    <pivotField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dataField="1"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dataFields count="1">
    <dataField name="Sum of Population" fld="11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G124:H129" firstHeaderRow="1" firstDataRow="1" firstDataCol="1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axis="axisRow" measureFilter="1" compact="0" sortType="descending" multipleItemSelectionAllowed="1" showAll="0">
      <items count="11">
        <item x="8"/>
        <item x="2"/>
        <item x="4"/>
        <item x="6"/>
        <item x="5"/>
        <item x="3"/>
        <item x="9"/>
        <item x="0"/>
        <item x="1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dataField="1"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rowFields count="1">
    <field x="1"/>
  </rowFields>
  <rowItems count="5">
    <i>
      <x v="1"/>
    </i>
    <i>
      <x v="2"/>
    </i>
    <i>
      <x v="7"/>
    </i>
    <i>
      <x v="5"/>
    </i>
    <i>
      <x/>
    </i>
  </rowItems>
  <colItems count="1">
    <i/>
  </colItems>
  <dataFields count="1">
    <dataField name="Sum of Active Cases" fld="5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J124:K129" firstHeaderRow="1" firstDataRow="1" firstDataCol="1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axis="axisRow" measureFilter="1" compact="0" sortType="descending" multipleItemSelectionAllowed="1" showAll="0">
      <items count="11">
        <item x="8"/>
        <item x="2"/>
        <item x="4"/>
        <item x="6"/>
        <item x="5"/>
        <item x="3"/>
        <item x="9"/>
        <item x="0"/>
        <item x="1"/>
        <item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rowFields count="1">
    <field x="1"/>
  </rowFields>
  <rowItems count="5">
    <i>
      <x v="7"/>
    </i>
    <i>
      <x v="5"/>
    </i>
    <i>
      <x v="8"/>
    </i>
    <i>
      <x v="4"/>
    </i>
    <i>
      <x v="2"/>
    </i>
  </rowItems>
  <colItems count="1">
    <i/>
  </colItems>
  <dataFields count="1">
    <dataField name="Sum of Total Recovered" fld="4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6">
  <location ref="A110:B116" firstHeaderRow="1" firstDataRow="1" firstDataCol="1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axis="axisRow" compact="0" sortType="descending" multipleItemSelectionAllowed="1" showAll="0">
      <items count="11">
        <item x="8"/>
        <item x="2"/>
        <item x="4"/>
        <item x="6"/>
        <item x="5"/>
        <item x="3"/>
        <item h="1" x="9"/>
        <item h="1" x="0"/>
        <item h="1" x="1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dataField="1"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rowFields count="1">
    <field x="1"/>
  </rowFields>
  <rowItems count="6">
    <i>
      <x v="1"/>
    </i>
    <i>
      <x v="3"/>
    </i>
    <i>
      <x v="2"/>
    </i>
    <i>
      <x v="5"/>
    </i>
    <i>
      <x v="4"/>
    </i>
    <i>
      <x/>
    </i>
  </rowItems>
  <colItems count="1">
    <i/>
  </colItems>
  <dataFields count="1">
    <dataField name="Sum of Mortality Rate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:A13" firstHeaderRow="1" firstDataRow="1" firstDataCol="0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compact="0" showAll="0">
      <items count="11">
        <item h="1" x="8"/>
        <item h="1" x="2"/>
        <item h="1" x="4"/>
        <item h="1" x="6"/>
        <item h="1" x="5"/>
        <item h="1" x="3"/>
        <item h="1" x="9"/>
        <item x="0"/>
        <item h="1" x="1"/>
        <item h="1" x="7"/>
        <item t="default"/>
      </items>
    </pivotField>
    <pivotField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dataField="1"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dataFields count="1">
    <dataField name="Sum of Total Deaths" fld="3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2" cacheId="18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72:E79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Comoro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3" cacheId="19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82:E89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Guinea-Bissau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A27:B34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Morocco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4" cacheId="2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91:E98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Niger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1" cacheId="6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64:B71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Ethiopi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35" cacheId="2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100:E107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Eritre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26" cacheId="12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18:E25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Saint Helen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7" cacheId="1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131:B135" firstHeaderRow="1" firstDataRow="1" firstDataCol="1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multipleItemSelectionAllowed="1" showAll="0">
      <items count="11">
        <item x="6"/>
        <item h="1" x="3"/>
        <item h="1" x="0"/>
        <item x="2"/>
        <item h="1" x="5"/>
        <item x="1"/>
        <item h="1" x="9"/>
        <item h="1" x="7"/>
        <item x="4"/>
        <item h="1"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9">
        <item x="0"/>
        <item x="7"/>
        <item x="5"/>
        <item x="2"/>
        <item x="6"/>
        <item x="1"/>
        <item x="4"/>
        <item x="3"/>
        <item t="default"/>
      </items>
    </pivotField>
    <pivotField compact="0" showAll="0"/>
    <pivotField compact="0" numFmtId="177" showAll="0"/>
    <pivotField compact="0" numFmtId="3" showAll="0"/>
    <pivotField compact="0" numFmtId="3" showAll="0"/>
  </pivotFields>
  <rowFields count="1">
    <field x="1"/>
  </rowFields>
  <rowItems count="4">
    <i>
      <x v="8"/>
    </i>
    <i>
      <x v="5"/>
    </i>
    <i>
      <x/>
    </i>
    <i>
      <x v="3"/>
    </i>
  </rowItems>
  <colItems count="1">
    <i/>
  </colItems>
  <dataFields count="1">
    <dataField name="Sum of Total Test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23" cacheId="1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9:C10" firstHeaderRow="1" firstDataRow="1" firstDataCol="0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dataField="1"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7" showAll="0"/>
    <pivotField compact="0" numFmtId="3" showAll="0"/>
    <pivotField compact="0" numFmtId="3" showAll="0"/>
  </pivotFields>
  <dataFields count="1">
    <dataField name="Sum of Total Cases" fld="2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40" cacheId="1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131:E135" firstHeaderRow="1" firstDataRow="1" firstDataCol="1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multipleItemSelectionAllowed="1" showAll="0">
      <items count="11">
        <item h="1" x="6"/>
        <item x="3"/>
        <item x="0"/>
        <item x="2"/>
        <item h="1" x="5"/>
        <item x="1"/>
        <item h="1" x="9"/>
        <item h="1" x="7"/>
        <item h="1" x="4"/>
        <item h="1"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7" showAll="0"/>
    <pivotField compact="0" numFmtId="3" showAll="0"/>
    <pivotField compact="0" numFmtId="3" showAll="0"/>
  </pivotFields>
  <rowFields count="1">
    <field x="1"/>
  </rowFields>
  <rowItems count="4">
    <i>
      <x v="2"/>
    </i>
    <i>
      <x v="5"/>
    </i>
    <i>
      <x v="3"/>
    </i>
    <i>
      <x v="1"/>
    </i>
  </rowItems>
  <colItems count="1">
    <i/>
  </colItems>
  <dataFields count="1">
    <dataField name="Sum of Total Case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110:E116" firstHeaderRow="1" firstDataRow="1" firstDataCol="1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axis="axisRow" compact="0" sortType="descending" multipleItemSelectionAllowed="1" showAll="0">
      <items count="11">
        <item x="8"/>
        <item x="2"/>
        <item x="4"/>
        <item x="6"/>
        <item x="5"/>
        <item x="3"/>
        <item h="1" x="9"/>
        <item h="1" x="0"/>
        <item h="1" x="1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dataField="1"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rowFields count="1">
    <field x="1"/>
  </rowFields>
  <rowItems count="6">
    <i>
      <x v="4"/>
    </i>
    <i>
      <x v="5"/>
    </i>
    <i>
      <x/>
    </i>
    <i>
      <x v="3"/>
    </i>
    <i>
      <x v="2"/>
    </i>
    <i>
      <x v="1"/>
    </i>
  </rowItems>
  <colItems count="1">
    <i/>
  </colItems>
  <dataFields count="1">
    <dataField name="Sum of Recovery Rat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41" cacheId="1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G131:H135" firstHeaderRow="1" firstDataRow="1" firstDataCol="1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multipleItemSelectionAllowed="1" showAll="0">
      <items count="11">
        <item x="6"/>
        <item h="1" x="3"/>
        <item h="1" x="0"/>
        <item x="2"/>
        <item x="5"/>
        <item x="1"/>
        <item h="1" x="9"/>
        <item h="1" x="7"/>
        <item h="1" x="4"/>
        <item h="1"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dataField="1" compact="0" showAll="0">
      <items count="9">
        <item x="7"/>
        <item x="0"/>
        <item x="6"/>
        <item x="2"/>
        <item x="1"/>
        <item x="4"/>
        <item x="5"/>
        <item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77" showAll="0"/>
    <pivotField compact="0" numFmtId="3" showAll="0"/>
    <pivotField compact="0" numFmtId="3" showAll="0"/>
  </pivotFields>
  <rowFields count="1">
    <field x="1"/>
  </rowFields>
  <rowItems count="4">
    <i>
      <x/>
    </i>
    <i>
      <x v="4"/>
    </i>
    <i>
      <x v="5"/>
    </i>
    <i>
      <x v="3"/>
    </i>
  </rowItems>
  <colItems count="1">
    <i/>
  </colItems>
  <dataFields count="1">
    <dataField name="Sum of Active Case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42" cacheId="1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J131:K135" firstHeaderRow="1" firstDataRow="1" firstDataCol="1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multipleItemSelectionAllowed="1" showAll="0">
      <items count="11">
        <item h="1" x="6"/>
        <item x="3"/>
        <item x="0"/>
        <item x="2"/>
        <item h="1" x="5"/>
        <item x="1"/>
        <item h="1" x="9"/>
        <item h="1" x="7"/>
        <item h="1" x="4"/>
        <item h="1"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dataField="1" compact="0" showAll="0">
      <items count="11">
        <item x="9"/>
        <item x="8"/>
        <item x="6"/>
        <item x="5"/>
        <item x="7"/>
        <item x="3"/>
        <item x="2"/>
        <item x="1"/>
        <item x="0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7" showAll="0"/>
    <pivotField compact="0" numFmtId="3" showAll="0"/>
    <pivotField compact="0" numFmtId="3" showAll="0"/>
  </pivotFields>
  <rowFields count="1">
    <field x="1"/>
  </rowFields>
  <rowItems count="4">
    <i>
      <x v="2"/>
    </i>
    <i>
      <x v="5"/>
    </i>
    <i>
      <x v="3"/>
    </i>
    <i>
      <x v="1"/>
    </i>
  </rowItems>
  <colItems count="1">
    <i/>
  </colItems>
  <dataFields count="1">
    <dataField name="Sum of Total Recovere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PivotTable43" cacheId="2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137:B138" firstHeaderRow="1" firstDataRow="1" firstDataCol="1"/>
  <pivotFields count="12">
    <pivotField compact="0" showAll="0">
      <items count="21">
        <item x="0"/>
        <item x="3"/>
        <item x="1"/>
        <item x="2"/>
        <item x="5"/>
        <item x="4"/>
        <item x="9"/>
        <item x="6"/>
        <item x="7"/>
        <item x="8"/>
        <item x="16"/>
        <item x="10"/>
        <item x="13"/>
        <item x="14"/>
        <item x="15"/>
        <item x="11"/>
        <item x="12"/>
        <item x="17"/>
        <item x="18"/>
        <item x="19"/>
        <item t="default"/>
      </items>
    </pivotField>
    <pivotField axis="axisRow" compact="0" sortType="descending" multipleItemSelectionAllowed="1" showAll="0">
      <items count="21">
        <item h="1" x="8"/>
        <item h="1" x="12"/>
        <item h="1" x="14"/>
        <item h="1" x="2"/>
        <item h="1" x="16"/>
        <item h="1" x="4"/>
        <item h="1" x="13"/>
        <item h="1" x="6"/>
        <item h="1" x="11"/>
        <item h="1" x="5"/>
        <item h="1" x="3"/>
        <item h="1" x="10"/>
        <item h="1" x="9"/>
        <item x="19"/>
        <item h="1" x="17"/>
        <item h="1" x="15"/>
        <item h="1" x="0"/>
        <item h="1" x="1"/>
        <item h="1" x="18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21">
        <item x="19"/>
        <item x="18"/>
        <item x="17"/>
        <item x="12"/>
        <item x="11"/>
        <item x="15"/>
        <item x="14"/>
        <item x="13"/>
        <item x="10"/>
        <item x="16"/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0">
        <item x="18"/>
        <item x="17"/>
        <item x="12"/>
        <item x="11"/>
        <item x="16"/>
        <item x="14"/>
        <item x="13"/>
        <item x="10"/>
        <item x="15"/>
        <item x="8"/>
        <item x="7"/>
        <item x="6"/>
        <item x="9"/>
        <item x="2"/>
        <item x="4"/>
        <item x="5"/>
        <item x="3"/>
        <item x="0"/>
        <item x="1"/>
        <item t="default"/>
      </items>
    </pivotField>
    <pivotField compact="0" showAll="0">
      <items count="18">
        <item x="16"/>
        <item x="14"/>
        <item x="15"/>
        <item x="13"/>
        <item x="10"/>
        <item x="7"/>
        <item x="11"/>
        <item x="9"/>
        <item x="12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12">
        <item x="9"/>
        <item x="6"/>
        <item x="8"/>
        <item x="10"/>
        <item x="7"/>
        <item x="1"/>
        <item x="4"/>
        <item x="5"/>
        <item x="2"/>
        <item x="0"/>
        <item x="3"/>
        <item t="default"/>
      </items>
    </pivotField>
    <pivotField compact="0" showAll="0">
      <items count="21">
        <item x="18"/>
        <item x="19"/>
        <item x="10"/>
        <item x="12"/>
        <item x="15"/>
        <item x="11"/>
        <item x="16"/>
        <item x="4"/>
        <item x="13"/>
        <item x="2"/>
        <item x="6"/>
        <item x="14"/>
        <item x="7"/>
        <item x="17"/>
        <item x="3"/>
        <item x="0"/>
        <item x="5"/>
        <item x="1"/>
        <item x="8"/>
        <item x="9"/>
        <item t="default"/>
      </items>
    </pivotField>
    <pivotField compact="0" showAll="0">
      <items count="21">
        <item x="18"/>
        <item x="12"/>
        <item x="10"/>
        <item x="15"/>
        <item x="16"/>
        <item x="11"/>
        <item x="4"/>
        <item x="13"/>
        <item x="6"/>
        <item x="14"/>
        <item x="7"/>
        <item x="2"/>
        <item x="17"/>
        <item x="3"/>
        <item x="9"/>
        <item x="5"/>
        <item x="8"/>
        <item x="0"/>
        <item x="1"/>
        <item x="19"/>
        <item t="default"/>
      </items>
    </pivotField>
    <pivotField compact="0" showAll="0">
      <items count="19">
        <item x="16"/>
        <item x="17"/>
        <item x="11"/>
        <item x="13"/>
        <item x="12"/>
        <item x="10"/>
        <item x="15"/>
        <item x="9"/>
        <item x="8"/>
        <item x="5"/>
        <item x="7"/>
        <item x="2"/>
        <item x="6"/>
        <item x="1"/>
        <item x="4"/>
        <item x="3"/>
        <item x="0"/>
        <item x="14"/>
        <item t="default"/>
      </items>
    </pivotField>
    <pivotField compact="0" showAll="0">
      <items count="19">
        <item x="16"/>
        <item x="10"/>
        <item x="12"/>
        <item x="11"/>
        <item x="15"/>
        <item x="2"/>
        <item x="4"/>
        <item x="6"/>
        <item x="13"/>
        <item x="17"/>
        <item x="7"/>
        <item x="3"/>
        <item x="5"/>
        <item x="1"/>
        <item x="0"/>
        <item x="8"/>
        <item x="9"/>
        <item x="14"/>
        <item t="default"/>
      </items>
    </pivotField>
    <pivotField compact="0" numFmtId="177" showAll="0">
      <items count="21">
        <item x="19"/>
        <item x="17"/>
        <item x="18"/>
        <item x="14"/>
        <item x="9"/>
        <item x="13"/>
        <item x="8"/>
        <item x="16"/>
        <item x="11"/>
        <item x="5"/>
        <item x="15"/>
        <item x="1"/>
        <item x="12"/>
        <item x="7"/>
        <item x="10"/>
        <item x="3"/>
        <item x="6"/>
        <item x="0"/>
        <item x="2"/>
        <item x="4"/>
        <item t="default"/>
      </items>
    </pivotField>
  </pivotFields>
  <rowFields count="1">
    <field x="1"/>
  </rowFields>
  <rowItems count="1">
    <i>
      <x v="13"/>
    </i>
  </rowItems>
  <colItems count="1">
    <i/>
  </colItems>
  <dataFields count="1">
    <dataField name="Sum of Total Cases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ivotTable44" cacheId="2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137:E138" firstHeaderRow="1" firstDataRow="1" firstDataCol="1"/>
  <pivotFields count="12">
    <pivotField compact="0" showAll="0">
      <items count="21">
        <item x="0"/>
        <item x="3"/>
        <item x="1"/>
        <item x="2"/>
        <item x="5"/>
        <item x="4"/>
        <item x="9"/>
        <item x="6"/>
        <item x="7"/>
        <item x="8"/>
        <item x="16"/>
        <item x="10"/>
        <item x="13"/>
        <item x="14"/>
        <item x="15"/>
        <item x="11"/>
        <item x="12"/>
        <item x="17"/>
        <item x="18"/>
        <item x="19"/>
        <item t="default"/>
      </items>
    </pivotField>
    <pivotField axis="axisRow" compact="0" sortType="descending" multipleItemSelectionAllowed="1" showAll="0">
      <items count="21">
        <item h="1" x="8"/>
        <item h="1" x="12"/>
        <item h="1" x="14"/>
        <item h="1" x="2"/>
        <item h="1" x="16"/>
        <item h="1" x="4"/>
        <item h="1" x="13"/>
        <item h="1" x="6"/>
        <item h="1" x="11"/>
        <item h="1" x="5"/>
        <item h="1" x="3"/>
        <item h="1" x="10"/>
        <item h="1" x="9"/>
        <item x="19"/>
        <item h="1" x="17"/>
        <item h="1" x="15"/>
        <item h="1" x="0"/>
        <item h="1" x="1"/>
        <item h="1" x="18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1">
        <item x="19"/>
        <item x="18"/>
        <item x="17"/>
        <item x="12"/>
        <item x="11"/>
        <item x="15"/>
        <item x="14"/>
        <item x="13"/>
        <item x="10"/>
        <item x="16"/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0">
        <item x="18"/>
        <item x="17"/>
        <item x="12"/>
        <item x="11"/>
        <item x="16"/>
        <item x="14"/>
        <item x="13"/>
        <item x="10"/>
        <item x="15"/>
        <item x="8"/>
        <item x="7"/>
        <item x="6"/>
        <item x="9"/>
        <item x="2"/>
        <item x="4"/>
        <item x="5"/>
        <item x="3"/>
        <item x="0"/>
        <item x="1"/>
        <item t="default"/>
      </items>
    </pivotField>
    <pivotField dataField="1" compact="0" showAll="0">
      <items count="18">
        <item x="16"/>
        <item x="14"/>
        <item x="15"/>
        <item x="13"/>
        <item x="10"/>
        <item x="7"/>
        <item x="11"/>
        <item x="9"/>
        <item x="12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12">
        <item x="9"/>
        <item x="6"/>
        <item x="8"/>
        <item x="10"/>
        <item x="7"/>
        <item x="1"/>
        <item x="4"/>
        <item x="5"/>
        <item x="2"/>
        <item x="0"/>
        <item x="3"/>
        <item t="default"/>
      </items>
    </pivotField>
    <pivotField compact="0" showAll="0">
      <items count="21">
        <item x="18"/>
        <item x="19"/>
        <item x="10"/>
        <item x="12"/>
        <item x="15"/>
        <item x="11"/>
        <item x="16"/>
        <item x="4"/>
        <item x="13"/>
        <item x="2"/>
        <item x="6"/>
        <item x="14"/>
        <item x="7"/>
        <item x="17"/>
        <item x="3"/>
        <item x="0"/>
        <item x="5"/>
        <item x="1"/>
        <item x="8"/>
        <item x="9"/>
        <item t="default"/>
      </items>
    </pivotField>
    <pivotField compact="0" showAll="0">
      <items count="21">
        <item x="18"/>
        <item x="12"/>
        <item x="10"/>
        <item x="15"/>
        <item x="16"/>
        <item x="11"/>
        <item x="4"/>
        <item x="13"/>
        <item x="6"/>
        <item x="14"/>
        <item x="7"/>
        <item x="2"/>
        <item x="17"/>
        <item x="3"/>
        <item x="9"/>
        <item x="5"/>
        <item x="8"/>
        <item x="0"/>
        <item x="1"/>
        <item x="19"/>
        <item t="default"/>
      </items>
    </pivotField>
    <pivotField compact="0" showAll="0">
      <items count="19">
        <item x="16"/>
        <item x="17"/>
        <item x="11"/>
        <item x="13"/>
        <item x="12"/>
        <item x="10"/>
        <item x="15"/>
        <item x="9"/>
        <item x="8"/>
        <item x="5"/>
        <item x="7"/>
        <item x="2"/>
        <item x="6"/>
        <item x="1"/>
        <item x="4"/>
        <item x="3"/>
        <item x="0"/>
        <item x="14"/>
        <item t="default"/>
      </items>
    </pivotField>
    <pivotField compact="0" showAll="0">
      <items count="19">
        <item x="16"/>
        <item x="10"/>
        <item x="12"/>
        <item x="11"/>
        <item x="15"/>
        <item x="2"/>
        <item x="4"/>
        <item x="6"/>
        <item x="13"/>
        <item x="17"/>
        <item x="7"/>
        <item x="3"/>
        <item x="5"/>
        <item x="1"/>
        <item x="0"/>
        <item x="8"/>
        <item x="9"/>
        <item x="14"/>
        <item t="default"/>
      </items>
    </pivotField>
    <pivotField compact="0" numFmtId="177" showAll="0">
      <items count="21">
        <item x="19"/>
        <item x="17"/>
        <item x="18"/>
        <item x="14"/>
        <item x="9"/>
        <item x="13"/>
        <item x="8"/>
        <item x="16"/>
        <item x="11"/>
        <item x="5"/>
        <item x="15"/>
        <item x="1"/>
        <item x="12"/>
        <item x="7"/>
        <item x="10"/>
        <item x="3"/>
        <item x="6"/>
        <item x="0"/>
        <item x="2"/>
        <item x="4"/>
        <item t="default"/>
      </items>
    </pivotField>
  </pivotFields>
  <rowFields count="1">
    <field x="1"/>
  </rowFields>
  <rowItems count="1">
    <i>
      <x v="13"/>
    </i>
  </rowItems>
  <colItems count="1">
    <i/>
  </colItems>
  <dataFields count="1">
    <dataField name="Sum of Active Cases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30" cacheId="16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54:E61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4">
        <item x="0"/>
        <item x="1"/>
        <item x="2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Liberi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2.xml><?xml version="1.0" encoding="utf-8"?>
<pivotTableDefinition xmlns="http://schemas.openxmlformats.org/spreadsheetml/2006/main" name="PivotTable45" cacheId="2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G137:H138" firstHeaderRow="1" firstDataRow="1" firstDataCol="1"/>
  <pivotFields count="12">
    <pivotField compact="0" showAll="0">
      <items count="21">
        <item x="0"/>
        <item x="3"/>
        <item x="1"/>
        <item x="2"/>
        <item x="5"/>
        <item x="4"/>
        <item x="9"/>
        <item x="6"/>
        <item x="7"/>
        <item x="8"/>
        <item x="16"/>
        <item x="10"/>
        <item x="13"/>
        <item x="14"/>
        <item x="15"/>
        <item x="11"/>
        <item x="12"/>
        <item x="17"/>
        <item x="18"/>
        <item x="19"/>
        <item t="default"/>
      </items>
    </pivotField>
    <pivotField axis="axisRow" compact="0" sortType="descending" multipleItemSelectionAllowed="1" showAll="0">
      <items count="21">
        <item h="1" x="8"/>
        <item h="1" x="12"/>
        <item h="1" x="14"/>
        <item h="1" x="2"/>
        <item h="1" x="16"/>
        <item h="1" x="4"/>
        <item h="1" x="13"/>
        <item h="1" x="6"/>
        <item h="1" x="11"/>
        <item h="1" x="5"/>
        <item h="1" x="3"/>
        <item h="1" x="10"/>
        <item h="1" x="9"/>
        <item x="19"/>
        <item h="1" x="17"/>
        <item h="1" x="15"/>
        <item h="1" x="0"/>
        <item h="1" x="1"/>
        <item h="1" x="18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1">
        <item x="19"/>
        <item x="18"/>
        <item x="17"/>
        <item x="12"/>
        <item x="11"/>
        <item x="15"/>
        <item x="14"/>
        <item x="13"/>
        <item x="10"/>
        <item x="16"/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showAll="0">
      <items count="20">
        <item x="18"/>
        <item x="17"/>
        <item x="12"/>
        <item x="11"/>
        <item x="16"/>
        <item x="14"/>
        <item x="13"/>
        <item x="10"/>
        <item x="15"/>
        <item x="8"/>
        <item x="7"/>
        <item x="6"/>
        <item x="9"/>
        <item x="2"/>
        <item x="4"/>
        <item x="5"/>
        <item x="3"/>
        <item x="0"/>
        <item x="1"/>
        <item t="default"/>
      </items>
    </pivotField>
    <pivotField compact="0" showAll="0">
      <items count="18">
        <item x="16"/>
        <item x="14"/>
        <item x="15"/>
        <item x="13"/>
        <item x="10"/>
        <item x="7"/>
        <item x="11"/>
        <item x="9"/>
        <item x="12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12">
        <item x="9"/>
        <item x="6"/>
        <item x="8"/>
        <item x="10"/>
        <item x="7"/>
        <item x="1"/>
        <item x="4"/>
        <item x="5"/>
        <item x="2"/>
        <item x="0"/>
        <item x="3"/>
        <item t="default"/>
      </items>
    </pivotField>
    <pivotField compact="0" showAll="0">
      <items count="21">
        <item x="18"/>
        <item x="19"/>
        <item x="10"/>
        <item x="12"/>
        <item x="15"/>
        <item x="11"/>
        <item x="16"/>
        <item x="4"/>
        <item x="13"/>
        <item x="2"/>
        <item x="6"/>
        <item x="14"/>
        <item x="7"/>
        <item x="17"/>
        <item x="3"/>
        <item x="0"/>
        <item x="5"/>
        <item x="1"/>
        <item x="8"/>
        <item x="9"/>
        <item t="default"/>
      </items>
    </pivotField>
    <pivotField compact="0" showAll="0">
      <items count="21">
        <item x="18"/>
        <item x="12"/>
        <item x="10"/>
        <item x="15"/>
        <item x="16"/>
        <item x="11"/>
        <item x="4"/>
        <item x="13"/>
        <item x="6"/>
        <item x="14"/>
        <item x="7"/>
        <item x="2"/>
        <item x="17"/>
        <item x="3"/>
        <item x="9"/>
        <item x="5"/>
        <item x="8"/>
        <item x="0"/>
        <item x="1"/>
        <item x="19"/>
        <item t="default"/>
      </items>
    </pivotField>
    <pivotField compact="0" showAll="0">
      <items count="19">
        <item x="16"/>
        <item x="17"/>
        <item x="11"/>
        <item x="13"/>
        <item x="12"/>
        <item x="10"/>
        <item x="15"/>
        <item x="9"/>
        <item x="8"/>
        <item x="5"/>
        <item x="7"/>
        <item x="2"/>
        <item x="6"/>
        <item x="1"/>
        <item x="4"/>
        <item x="3"/>
        <item x="0"/>
        <item x="14"/>
        <item t="default"/>
      </items>
    </pivotField>
    <pivotField compact="0" showAll="0">
      <items count="19">
        <item x="16"/>
        <item x="10"/>
        <item x="12"/>
        <item x="11"/>
        <item x="15"/>
        <item x="2"/>
        <item x="4"/>
        <item x="6"/>
        <item x="13"/>
        <item x="17"/>
        <item x="7"/>
        <item x="3"/>
        <item x="5"/>
        <item x="1"/>
        <item x="0"/>
        <item x="8"/>
        <item x="9"/>
        <item x="14"/>
        <item t="default"/>
      </items>
    </pivotField>
    <pivotField compact="0" numFmtId="177" showAll="0">
      <items count="21">
        <item x="19"/>
        <item x="17"/>
        <item x="18"/>
        <item x="14"/>
        <item x="9"/>
        <item x="13"/>
        <item x="8"/>
        <item x="16"/>
        <item x="11"/>
        <item x="5"/>
        <item x="15"/>
        <item x="1"/>
        <item x="12"/>
        <item x="7"/>
        <item x="10"/>
        <item x="3"/>
        <item x="6"/>
        <item x="0"/>
        <item x="2"/>
        <item x="4"/>
        <item t="default"/>
      </items>
    </pivotField>
  </pivotFields>
  <rowFields count="1">
    <field x="1"/>
  </rowFields>
  <rowItems count="1">
    <i>
      <x v="13"/>
    </i>
  </rowItems>
  <colItems count="1">
    <i/>
  </colItems>
  <dataFields count="1">
    <dataField name="Sum of Total Recovered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3.xml><?xml version="1.0" encoding="utf-8"?>
<pivotTableDefinition xmlns="http://schemas.openxmlformats.org/spreadsheetml/2006/main" name="PivotTable27" cacheId="1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27:E34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Western Sahar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4.xml><?xml version="1.0" encoding="utf-8"?>
<pivotTableDefinition xmlns="http://schemas.openxmlformats.org/spreadsheetml/2006/main" name="PivotTable46" cacheId="2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J137:K138" firstHeaderRow="1" firstDataRow="1" firstDataCol="1"/>
  <pivotFields count="12">
    <pivotField compact="0" showAll="0">
      <items count="21">
        <item x="0"/>
        <item x="3"/>
        <item x="1"/>
        <item x="2"/>
        <item x="5"/>
        <item x="4"/>
        <item x="9"/>
        <item x="6"/>
        <item x="7"/>
        <item x="8"/>
        <item x="16"/>
        <item x="10"/>
        <item x="13"/>
        <item x="14"/>
        <item x="15"/>
        <item x="11"/>
        <item x="12"/>
        <item x="17"/>
        <item x="18"/>
        <item x="19"/>
        <item t="default"/>
      </items>
    </pivotField>
    <pivotField axis="axisRow" compact="0" sortType="descending" multipleItemSelectionAllowed="1" showAll="0">
      <items count="21">
        <item h="1" x="8"/>
        <item h="1" x="12"/>
        <item h="1" x="14"/>
        <item h="1" x="2"/>
        <item h="1" x="16"/>
        <item h="1" x="4"/>
        <item h="1" x="13"/>
        <item h="1" x="6"/>
        <item h="1" x="11"/>
        <item h="1" x="5"/>
        <item h="1" x="3"/>
        <item h="1" x="10"/>
        <item h="1" x="9"/>
        <item x="19"/>
        <item h="1" x="17"/>
        <item h="1" x="15"/>
        <item h="1" x="0"/>
        <item h="1" x="1"/>
        <item h="1" x="18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1">
        <item x="19"/>
        <item x="18"/>
        <item x="17"/>
        <item x="12"/>
        <item x="11"/>
        <item x="15"/>
        <item x="14"/>
        <item x="13"/>
        <item x="10"/>
        <item x="16"/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0">
        <item x="18"/>
        <item x="17"/>
        <item x="12"/>
        <item x="11"/>
        <item x="16"/>
        <item x="14"/>
        <item x="13"/>
        <item x="10"/>
        <item x="15"/>
        <item x="8"/>
        <item x="7"/>
        <item x="6"/>
        <item x="9"/>
        <item x="2"/>
        <item x="4"/>
        <item x="5"/>
        <item x="3"/>
        <item x="0"/>
        <item x="1"/>
        <item t="default"/>
      </items>
    </pivotField>
    <pivotField compact="0" showAll="0">
      <items count="18">
        <item x="16"/>
        <item x="14"/>
        <item x="15"/>
        <item x="13"/>
        <item x="10"/>
        <item x="7"/>
        <item x="11"/>
        <item x="9"/>
        <item x="12"/>
        <item x="6"/>
        <item x="5"/>
        <item x="8"/>
        <item x="3"/>
        <item x="0"/>
        <item x="4"/>
        <item x="2"/>
        <item x="1"/>
        <item t="default"/>
      </items>
    </pivotField>
    <pivotField dataField="1" compact="0" showAll="0">
      <items count="12">
        <item x="9"/>
        <item x="6"/>
        <item x="8"/>
        <item x="10"/>
        <item x="7"/>
        <item x="1"/>
        <item x="4"/>
        <item x="5"/>
        <item x="2"/>
        <item x="0"/>
        <item x="3"/>
        <item t="default"/>
      </items>
    </pivotField>
    <pivotField compact="0" showAll="0">
      <items count="21">
        <item x="18"/>
        <item x="19"/>
        <item x="10"/>
        <item x="12"/>
        <item x="15"/>
        <item x="11"/>
        <item x="16"/>
        <item x="4"/>
        <item x="13"/>
        <item x="2"/>
        <item x="6"/>
        <item x="14"/>
        <item x="7"/>
        <item x="17"/>
        <item x="3"/>
        <item x="0"/>
        <item x="5"/>
        <item x="1"/>
        <item x="8"/>
        <item x="9"/>
        <item t="default"/>
      </items>
    </pivotField>
    <pivotField compact="0" showAll="0">
      <items count="21">
        <item x="18"/>
        <item x="12"/>
        <item x="10"/>
        <item x="15"/>
        <item x="16"/>
        <item x="11"/>
        <item x="4"/>
        <item x="13"/>
        <item x="6"/>
        <item x="14"/>
        <item x="7"/>
        <item x="2"/>
        <item x="17"/>
        <item x="3"/>
        <item x="9"/>
        <item x="5"/>
        <item x="8"/>
        <item x="0"/>
        <item x="1"/>
        <item x="19"/>
        <item t="default"/>
      </items>
    </pivotField>
    <pivotField compact="0" showAll="0">
      <items count="19">
        <item x="16"/>
        <item x="17"/>
        <item x="11"/>
        <item x="13"/>
        <item x="12"/>
        <item x="10"/>
        <item x="15"/>
        <item x="9"/>
        <item x="8"/>
        <item x="5"/>
        <item x="7"/>
        <item x="2"/>
        <item x="6"/>
        <item x="1"/>
        <item x="4"/>
        <item x="3"/>
        <item x="0"/>
        <item x="14"/>
        <item t="default"/>
      </items>
    </pivotField>
    <pivotField compact="0" showAll="0">
      <items count="19">
        <item x="16"/>
        <item x="10"/>
        <item x="12"/>
        <item x="11"/>
        <item x="15"/>
        <item x="2"/>
        <item x="4"/>
        <item x="6"/>
        <item x="13"/>
        <item x="17"/>
        <item x="7"/>
        <item x="3"/>
        <item x="5"/>
        <item x="1"/>
        <item x="0"/>
        <item x="8"/>
        <item x="9"/>
        <item x="14"/>
        <item t="default"/>
      </items>
    </pivotField>
    <pivotField compact="0" numFmtId="177" showAll="0">
      <items count="21">
        <item x="19"/>
        <item x="17"/>
        <item x="18"/>
        <item x="14"/>
        <item x="9"/>
        <item x="13"/>
        <item x="8"/>
        <item x="16"/>
        <item x="11"/>
        <item x="5"/>
        <item x="15"/>
        <item x="1"/>
        <item x="12"/>
        <item x="7"/>
        <item x="10"/>
        <item x="3"/>
        <item x="6"/>
        <item x="0"/>
        <item x="2"/>
        <item x="4"/>
        <item t="default"/>
      </items>
    </pivotField>
  </pivotFields>
  <rowFields count="1">
    <field x="1"/>
  </rowFields>
  <rowItems count="1">
    <i>
      <x v="13"/>
    </i>
  </rowItems>
  <colItems count="1">
    <i/>
  </colItems>
  <dataFields count="1">
    <dataField name="Sum of Serious Critical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5.xml><?xml version="1.0" encoding="utf-8"?>
<pivotTableDefinition xmlns="http://schemas.openxmlformats.org/spreadsheetml/2006/main" name="PivotTable47" cacheId="2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M137:N138" firstHeaderRow="1" firstDataRow="1" firstDataCol="1"/>
  <pivotFields count="12">
    <pivotField compact="0" showAll="0">
      <items count="21">
        <item x="0"/>
        <item x="3"/>
        <item x="1"/>
        <item x="2"/>
        <item x="5"/>
        <item x="4"/>
        <item x="9"/>
        <item x="6"/>
        <item x="7"/>
        <item x="8"/>
        <item x="16"/>
        <item x="10"/>
        <item x="13"/>
        <item x="14"/>
        <item x="15"/>
        <item x="11"/>
        <item x="12"/>
        <item x="17"/>
        <item x="18"/>
        <item x="19"/>
        <item t="default"/>
      </items>
    </pivotField>
    <pivotField axis="axisRow" compact="0" sortType="descending" multipleItemSelectionAllowed="1" showAll="0">
      <items count="21">
        <item h="1" x="8"/>
        <item h="1" x="12"/>
        <item h="1" x="14"/>
        <item h="1" x="2"/>
        <item h="1" x="16"/>
        <item h="1" x="4"/>
        <item h="1" x="13"/>
        <item h="1" x="6"/>
        <item h="1" x="11"/>
        <item h="1" x="5"/>
        <item h="1" x="3"/>
        <item h="1" x="10"/>
        <item h="1" x="9"/>
        <item x="19"/>
        <item h="1" x="17"/>
        <item h="1" x="15"/>
        <item h="1" x="0"/>
        <item h="1" x="1"/>
        <item h="1" x="18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1">
        <item x="19"/>
        <item x="18"/>
        <item x="17"/>
        <item x="12"/>
        <item x="11"/>
        <item x="15"/>
        <item x="14"/>
        <item x="13"/>
        <item x="10"/>
        <item x="16"/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0">
        <item x="18"/>
        <item x="17"/>
        <item x="12"/>
        <item x="11"/>
        <item x="16"/>
        <item x="14"/>
        <item x="13"/>
        <item x="10"/>
        <item x="15"/>
        <item x="8"/>
        <item x="7"/>
        <item x="6"/>
        <item x="9"/>
        <item x="2"/>
        <item x="4"/>
        <item x="5"/>
        <item x="3"/>
        <item x="0"/>
        <item x="1"/>
        <item t="default"/>
      </items>
    </pivotField>
    <pivotField compact="0" showAll="0">
      <items count="18">
        <item x="16"/>
        <item x="14"/>
        <item x="15"/>
        <item x="13"/>
        <item x="10"/>
        <item x="7"/>
        <item x="11"/>
        <item x="9"/>
        <item x="12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12">
        <item x="9"/>
        <item x="6"/>
        <item x="8"/>
        <item x="10"/>
        <item x="7"/>
        <item x="1"/>
        <item x="4"/>
        <item x="5"/>
        <item x="2"/>
        <item x="0"/>
        <item x="3"/>
        <item t="default"/>
      </items>
    </pivotField>
    <pivotField compact="0" showAll="0">
      <items count="21">
        <item x="18"/>
        <item x="19"/>
        <item x="10"/>
        <item x="12"/>
        <item x="15"/>
        <item x="11"/>
        <item x="16"/>
        <item x="4"/>
        <item x="13"/>
        <item x="2"/>
        <item x="6"/>
        <item x="14"/>
        <item x="7"/>
        <item x="17"/>
        <item x="3"/>
        <item x="0"/>
        <item x="5"/>
        <item x="1"/>
        <item x="8"/>
        <item x="9"/>
        <item t="default"/>
      </items>
    </pivotField>
    <pivotField compact="0" showAll="0">
      <items count="21">
        <item x="18"/>
        <item x="12"/>
        <item x="10"/>
        <item x="15"/>
        <item x="16"/>
        <item x="11"/>
        <item x="4"/>
        <item x="13"/>
        <item x="6"/>
        <item x="14"/>
        <item x="7"/>
        <item x="2"/>
        <item x="17"/>
        <item x="3"/>
        <item x="9"/>
        <item x="5"/>
        <item x="8"/>
        <item x="0"/>
        <item x="1"/>
        <item x="19"/>
        <item t="default"/>
      </items>
    </pivotField>
    <pivotField compact="0" showAll="0">
      <items count="19">
        <item x="16"/>
        <item x="17"/>
        <item x="11"/>
        <item x="13"/>
        <item x="12"/>
        <item x="10"/>
        <item x="15"/>
        <item x="9"/>
        <item x="8"/>
        <item x="5"/>
        <item x="7"/>
        <item x="2"/>
        <item x="6"/>
        <item x="1"/>
        <item x="4"/>
        <item x="3"/>
        <item x="0"/>
        <item x="14"/>
        <item t="default"/>
      </items>
    </pivotField>
    <pivotField compact="0" showAll="0">
      <items count="19">
        <item x="16"/>
        <item x="10"/>
        <item x="12"/>
        <item x="11"/>
        <item x="15"/>
        <item x="2"/>
        <item x="4"/>
        <item x="6"/>
        <item x="13"/>
        <item x="17"/>
        <item x="7"/>
        <item x="3"/>
        <item x="5"/>
        <item x="1"/>
        <item x="0"/>
        <item x="8"/>
        <item x="9"/>
        <item x="14"/>
        <item t="default"/>
      </items>
    </pivotField>
    <pivotField dataField="1" compact="0" numFmtId="177" showAll="0">
      <items count="21">
        <item x="19"/>
        <item x="17"/>
        <item x="18"/>
        <item x="14"/>
        <item x="9"/>
        <item x="13"/>
        <item x="8"/>
        <item x="16"/>
        <item x="11"/>
        <item x="5"/>
        <item x="15"/>
        <item x="1"/>
        <item x="12"/>
        <item x="7"/>
        <item x="10"/>
        <item x="3"/>
        <item x="6"/>
        <item x="0"/>
        <item x="2"/>
        <item x="4"/>
        <item t="default"/>
      </items>
    </pivotField>
  </pivotFields>
  <rowFields count="1">
    <field x="1"/>
  </rowFields>
  <rowItems count="1">
    <i>
      <x v="13"/>
    </i>
  </rowItems>
  <colItems count="1">
    <i/>
  </colItems>
  <dataFields count="1">
    <dataField name="Sum of Population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6.xml><?xml version="1.0" encoding="utf-8"?>
<pivotTableDefinition xmlns="http://schemas.openxmlformats.org/spreadsheetml/2006/main" name="PivotTable48" cacheId="2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P137:Q138" firstHeaderRow="1" firstDataRow="1" firstDataCol="1"/>
  <pivotFields count="12">
    <pivotField compact="0" showAll="0">
      <items count="21">
        <item x="0"/>
        <item x="3"/>
        <item x="1"/>
        <item x="2"/>
        <item x="5"/>
        <item x="4"/>
        <item x="9"/>
        <item x="6"/>
        <item x="7"/>
        <item x="8"/>
        <item x="16"/>
        <item x="10"/>
        <item x="13"/>
        <item x="14"/>
        <item x="15"/>
        <item x="11"/>
        <item x="12"/>
        <item x="17"/>
        <item x="18"/>
        <item x="19"/>
        <item t="default"/>
      </items>
    </pivotField>
    <pivotField axis="axisRow" compact="0" sortType="descending" multipleItemSelectionAllowed="1" showAll="0">
      <items count="21">
        <item h="1" x="8"/>
        <item h="1" x="12"/>
        <item h="1" x="14"/>
        <item h="1" x="2"/>
        <item h="1" x="16"/>
        <item h="1" x="4"/>
        <item h="1" x="13"/>
        <item h="1" x="6"/>
        <item h="1" x="11"/>
        <item h="1" x="5"/>
        <item h="1" x="3"/>
        <item h="1" x="10"/>
        <item h="1" x="9"/>
        <item x="19"/>
        <item h="1" x="17"/>
        <item h="1" x="15"/>
        <item h="1" x="0"/>
        <item h="1" x="1"/>
        <item h="1" x="18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1">
        <item x="19"/>
        <item x="18"/>
        <item x="17"/>
        <item x="12"/>
        <item x="11"/>
        <item x="15"/>
        <item x="14"/>
        <item x="13"/>
        <item x="10"/>
        <item x="16"/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0">
        <item x="18"/>
        <item x="17"/>
        <item x="12"/>
        <item x="11"/>
        <item x="16"/>
        <item x="14"/>
        <item x="13"/>
        <item x="10"/>
        <item x="15"/>
        <item x="8"/>
        <item x="7"/>
        <item x="6"/>
        <item x="9"/>
        <item x="2"/>
        <item x="4"/>
        <item x="5"/>
        <item x="3"/>
        <item x="0"/>
        <item x="1"/>
        <item t="default"/>
      </items>
    </pivotField>
    <pivotField compact="0" showAll="0">
      <items count="18">
        <item x="16"/>
        <item x="14"/>
        <item x="15"/>
        <item x="13"/>
        <item x="10"/>
        <item x="7"/>
        <item x="11"/>
        <item x="9"/>
        <item x="12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12">
        <item x="9"/>
        <item x="6"/>
        <item x="8"/>
        <item x="10"/>
        <item x="7"/>
        <item x="1"/>
        <item x="4"/>
        <item x="5"/>
        <item x="2"/>
        <item x="0"/>
        <item x="3"/>
        <item t="default"/>
      </items>
    </pivotField>
    <pivotField compact="0" showAll="0">
      <items count="21">
        <item x="18"/>
        <item x="19"/>
        <item x="10"/>
        <item x="12"/>
        <item x="15"/>
        <item x="11"/>
        <item x="16"/>
        <item x="4"/>
        <item x="13"/>
        <item x="2"/>
        <item x="6"/>
        <item x="14"/>
        <item x="7"/>
        <item x="17"/>
        <item x="3"/>
        <item x="0"/>
        <item x="5"/>
        <item x="1"/>
        <item x="8"/>
        <item x="9"/>
        <item t="default"/>
      </items>
    </pivotField>
    <pivotField compact="0" showAll="0">
      <items count="21">
        <item x="18"/>
        <item x="12"/>
        <item x="10"/>
        <item x="15"/>
        <item x="16"/>
        <item x="11"/>
        <item x="4"/>
        <item x="13"/>
        <item x="6"/>
        <item x="14"/>
        <item x="7"/>
        <item x="2"/>
        <item x="17"/>
        <item x="3"/>
        <item x="9"/>
        <item x="5"/>
        <item x="8"/>
        <item x="0"/>
        <item x="1"/>
        <item x="19"/>
        <item t="default"/>
      </items>
    </pivotField>
    <pivotField dataField="1" compact="0" showAll="0">
      <items count="19">
        <item x="16"/>
        <item x="17"/>
        <item x="11"/>
        <item x="13"/>
        <item x="12"/>
        <item x="10"/>
        <item x="15"/>
        <item x="9"/>
        <item x="8"/>
        <item x="5"/>
        <item x="7"/>
        <item x="2"/>
        <item x="6"/>
        <item x="1"/>
        <item x="4"/>
        <item x="3"/>
        <item x="0"/>
        <item x="14"/>
        <item t="default"/>
      </items>
    </pivotField>
    <pivotField compact="0" showAll="0">
      <items count="19">
        <item x="16"/>
        <item x="10"/>
        <item x="12"/>
        <item x="11"/>
        <item x="15"/>
        <item x="2"/>
        <item x="4"/>
        <item x="6"/>
        <item x="13"/>
        <item x="17"/>
        <item x="7"/>
        <item x="3"/>
        <item x="5"/>
        <item x="1"/>
        <item x="0"/>
        <item x="8"/>
        <item x="9"/>
        <item x="14"/>
        <item t="default"/>
      </items>
    </pivotField>
    <pivotField compact="0" numFmtId="177" showAll="0">
      <items count="21">
        <item x="19"/>
        <item x="17"/>
        <item x="18"/>
        <item x="14"/>
        <item x="9"/>
        <item x="13"/>
        <item x="8"/>
        <item x="16"/>
        <item x="11"/>
        <item x="5"/>
        <item x="15"/>
        <item x="1"/>
        <item x="12"/>
        <item x="7"/>
        <item x="10"/>
        <item x="3"/>
        <item x="6"/>
        <item x="0"/>
        <item x="2"/>
        <item x="4"/>
        <item t="default"/>
      </items>
    </pivotField>
  </pivotFields>
  <rowFields count="1">
    <field x="1"/>
  </rowFields>
  <rowItems count="1">
    <i>
      <x v="13"/>
    </i>
  </rowItems>
  <colItems count="1">
    <i/>
  </colItems>
  <dataFields count="1">
    <dataField name="Sum of Total Test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7.xml><?xml version="1.0" encoding="utf-8"?>
<pivotTableDefinition xmlns="http://schemas.openxmlformats.org/spreadsheetml/2006/main" name="PivotTable49" cacheId="2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S137:T138" firstHeaderRow="1" firstDataRow="1" firstDataCol="1"/>
  <pivotFields count="12">
    <pivotField compact="0" showAll="0">
      <items count="21">
        <item x="0"/>
        <item x="3"/>
        <item x="1"/>
        <item x="2"/>
        <item x="5"/>
        <item x="4"/>
        <item x="9"/>
        <item x="6"/>
        <item x="7"/>
        <item x="8"/>
        <item x="16"/>
        <item x="10"/>
        <item x="13"/>
        <item x="14"/>
        <item x="15"/>
        <item x="11"/>
        <item x="12"/>
        <item x="17"/>
        <item x="18"/>
        <item x="19"/>
        <item t="default"/>
      </items>
    </pivotField>
    <pivotField axis="axisRow" compact="0" sortType="descending" multipleItemSelectionAllowed="1" showAll="0">
      <items count="21">
        <item h="1" x="8"/>
        <item h="1" x="12"/>
        <item h="1" x="14"/>
        <item h="1" x="2"/>
        <item h="1" x="16"/>
        <item h="1" x="4"/>
        <item h="1" x="13"/>
        <item h="1" x="6"/>
        <item h="1" x="11"/>
        <item h="1" x="5"/>
        <item h="1" x="3"/>
        <item h="1" x="10"/>
        <item h="1" x="9"/>
        <item x="19"/>
        <item h="1" x="17"/>
        <item h="1" x="15"/>
        <item h="1" x="0"/>
        <item h="1" x="1"/>
        <item h="1" x="18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1">
        <item x="19"/>
        <item x="18"/>
        <item x="17"/>
        <item x="12"/>
        <item x="11"/>
        <item x="15"/>
        <item x="14"/>
        <item x="13"/>
        <item x="10"/>
        <item x="16"/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20">
        <item x="18"/>
        <item x="17"/>
        <item x="12"/>
        <item x="11"/>
        <item x="16"/>
        <item x="14"/>
        <item x="13"/>
        <item x="10"/>
        <item x="15"/>
        <item x="8"/>
        <item x="7"/>
        <item x="6"/>
        <item x="9"/>
        <item x="2"/>
        <item x="4"/>
        <item x="5"/>
        <item x="3"/>
        <item x="0"/>
        <item x="1"/>
        <item t="default"/>
      </items>
    </pivotField>
    <pivotField compact="0" showAll="0">
      <items count="18">
        <item x="16"/>
        <item x="14"/>
        <item x="15"/>
        <item x="13"/>
        <item x="10"/>
        <item x="7"/>
        <item x="11"/>
        <item x="9"/>
        <item x="12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12">
        <item x="9"/>
        <item x="6"/>
        <item x="8"/>
        <item x="10"/>
        <item x="7"/>
        <item x="1"/>
        <item x="4"/>
        <item x="5"/>
        <item x="2"/>
        <item x="0"/>
        <item x="3"/>
        <item t="default"/>
      </items>
    </pivotField>
    <pivotField compact="0" showAll="0">
      <items count="21">
        <item x="18"/>
        <item x="19"/>
        <item x="10"/>
        <item x="12"/>
        <item x="15"/>
        <item x="11"/>
        <item x="16"/>
        <item x="4"/>
        <item x="13"/>
        <item x="2"/>
        <item x="6"/>
        <item x="14"/>
        <item x="7"/>
        <item x="17"/>
        <item x="3"/>
        <item x="0"/>
        <item x="5"/>
        <item x="1"/>
        <item x="8"/>
        <item x="9"/>
        <item t="default"/>
      </items>
    </pivotField>
    <pivotField dataField="1" compact="0" showAll="0">
      <items count="21">
        <item x="18"/>
        <item x="12"/>
        <item x="10"/>
        <item x="15"/>
        <item x="16"/>
        <item x="11"/>
        <item x="4"/>
        <item x="13"/>
        <item x="6"/>
        <item x="14"/>
        <item x="7"/>
        <item x="2"/>
        <item x="17"/>
        <item x="3"/>
        <item x="9"/>
        <item x="5"/>
        <item x="8"/>
        <item x="0"/>
        <item x="1"/>
        <item x="19"/>
        <item t="default"/>
      </items>
    </pivotField>
    <pivotField compact="0" showAll="0">
      <items count="19">
        <item x="16"/>
        <item x="17"/>
        <item x="11"/>
        <item x="13"/>
        <item x="12"/>
        <item x="10"/>
        <item x="15"/>
        <item x="9"/>
        <item x="8"/>
        <item x="5"/>
        <item x="7"/>
        <item x="2"/>
        <item x="6"/>
        <item x="1"/>
        <item x="4"/>
        <item x="3"/>
        <item x="0"/>
        <item x="14"/>
        <item t="default"/>
      </items>
    </pivotField>
    <pivotField compact="0" showAll="0">
      <items count="19">
        <item x="16"/>
        <item x="10"/>
        <item x="12"/>
        <item x="11"/>
        <item x="15"/>
        <item x="2"/>
        <item x="4"/>
        <item x="6"/>
        <item x="13"/>
        <item x="17"/>
        <item x="7"/>
        <item x="3"/>
        <item x="5"/>
        <item x="1"/>
        <item x="0"/>
        <item x="8"/>
        <item x="9"/>
        <item x="14"/>
        <item t="default"/>
      </items>
    </pivotField>
    <pivotField compact="0" numFmtId="177" showAll="0">
      <items count="21">
        <item x="19"/>
        <item x="17"/>
        <item x="18"/>
        <item x="14"/>
        <item x="9"/>
        <item x="13"/>
        <item x="8"/>
        <item x="16"/>
        <item x="11"/>
        <item x="5"/>
        <item x="15"/>
        <item x="1"/>
        <item x="12"/>
        <item x="7"/>
        <item x="10"/>
        <item x="3"/>
        <item x="6"/>
        <item x="0"/>
        <item x="2"/>
        <item x="4"/>
        <item t="default"/>
      </items>
    </pivotField>
  </pivotFields>
  <rowFields count="1">
    <field x="1"/>
  </rowFields>
  <rowItems count="1">
    <i>
      <x v="13"/>
    </i>
  </rowItems>
  <colItems count="1">
    <i/>
  </colItems>
  <dataFields count="1">
    <dataField name="Sum of Deaths/ 1M Pop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8.xml><?xml version="1.0" encoding="utf-8"?>
<pivotTableDefinition xmlns="http://schemas.openxmlformats.org/spreadsheetml/2006/main" name="PivotTable12" cacheId="7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73:B80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Réunion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9.xml><?xml version="1.0" encoding="utf-8"?>
<pivotTableDefinition xmlns="http://schemas.openxmlformats.org/spreadsheetml/2006/main" name="PivotTable14" cacheId="9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91:B98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Zambi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0.xml><?xml version="1.0" encoding="utf-8"?>
<pivotTableDefinition xmlns="http://schemas.openxmlformats.org/spreadsheetml/2006/main" name="PivotTable15" cacheId="1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100:B107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Botswan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:A7" firstHeaderRow="1" firstDataRow="1" firstDataCol="0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compact="0" showAll="0">
      <items count="11">
        <item h="1" x="8"/>
        <item h="1" x="2"/>
        <item h="1" x="4"/>
        <item h="1" x="6"/>
        <item h="1" x="5"/>
        <item h="1" x="3"/>
        <item h="1" x="9"/>
        <item x="0"/>
        <item h="1" x="1"/>
        <item h="1" x="7"/>
        <item t="default"/>
      </items>
    </pivotField>
    <pivotField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dataField="1"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dataFields count="1">
    <dataField name="Sum of Total Tests" fld="9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5:A16" firstHeaderRow="1" firstDataRow="1" firstDataCol="0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compact="0" showAll="0">
      <items count="11">
        <item h="1" x="8"/>
        <item h="1" x="2"/>
        <item h="1" x="4"/>
        <item h="1" x="6"/>
        <item h="1" x="5"/>
        <item h="1" x="3"/>
        <item h="1" x="9"/>
        <item x="0"/>
        <item h="1" x="1"/>
        <item h="1" x="7"/>
        <item t="default"/>
      </items>
    </pivotField>
    <pivotField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dataFields count="1">
    <dataField name="Sum of Total Recovered" fld="4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9:A10" firstHeaderRow="1" firstDataRow="1" firstDataCol="0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compact="0" showAll="0">
      <items count="11">
        <item x="8"/>
        <item x="2"/>
        <item x="4"/>
        <item x="6"/>
        <item x="5"/>
        <item x="3"/>
        <item h="1" x="9"/>
        <item h="1" x="0"/>
        <item h="1" x="1"/>
        <item h="1" x="7"/>
        <item t="default"/>
      </items>
    </pivotField>
    <pivotField dataField="1"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dataFields count="1">
    <dataField name="Sum of Total Cases" fld="2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4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A18:B25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South Africa" fld="2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5.xml><?xml version="1.0" encoding="utf-8"?>
<pivotTableDefinition xmlns="http://schemas.openxmlformats.org/spreadsheetml/2006/main" name="PivotTable8" cacheId="3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37:B44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Tunisi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6.xml><?xml version="1.0" encoding="utf-8"?>
<pivotTableDefinition xmlns="http://schemas.openxmlformats.org/spreadsheetml/2006/main" name="PivotTable9" cacheId="4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46:B53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2">
        <item x="0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Egyp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7.xml><?xml version="1.0" encoding="utf-8"?>
<pivotTableDefinition xmlns="http://schemas.openxmlformats.org/spreadsheetml/2006/main" name="PivotTable21" cacheId="1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3:C4" firstHeaderRow="1" firstDataRow="1" firstDataCol="0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numFmtId="177" showAll="0">
      <items count="11">
        <item x="9"/>
        <item x="7"/>
        <item x="8"/>
        <item x="3"/>
        <item x="2"/>
        <item x="0"/>
        <item x="5"/>
        <item x="4"/>
        <item x="6"/>
        <item x="1"/>
        <item t="default"/>
      </items>
    </pivotField>
    <pivotField compact="0" numFmtId="3" showAll="0"/>
    <pivotField compact="0" numFmtId="3" showAll="0"/>
  </pivotFields>
  <dataFields count="1">
    <dataField name="Sum of  Population " fld="11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8.xml><?xml version="1.0" encoding="utf-8"?>
<pivotTableDefinition xmlns="http://schemas.openxmlformats.org/spreadsheetml/2006/main" name="PivotTable24" cacheId="1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2:C13" firstHeaderRow="1" firstDataRow="1" firstDataCol="0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compact="0" showAll="0"/>
    <pivotField dataField="1" compact="0" showAll="0">
      <items count="11">
        <item x="8"/>
        <item x="7"/>
        <item x="0"/>
        <item x="4"/>
        <item x="3"/>
        <item x="2"/>
        <item x="6"/>
        <item x="5"/>
        <item x="1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7" showAll="0"/>
    <pivotField compact="0" numFmtId="3" showAll="0"/>
    <pivotField compact="0" numFmtId="3" showAll="0"/>
  </pivotFields>
  <dataFields count="1">
    <dataField name="Sum of Total Deaths" fld="3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9.xml><?xml version="1.0" encoding="utf-8"?>
<pivotTableDefinition xmlns="http://schemas.openxmlformats.org/spreadsheetml/2006/main" name="PivotTable22" cacheId="1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6:C7" firstHeaderRow="1" firstDataRow="1" firstDataCol="0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9">
        <item x="0"/>
        <item x="7"/>
        <item x="5"/>
        <item x="2"/>
        <item x="6"/>
        <item x="1"/>
        <item x="4"/>
        <item x="3"/>
        <item t="default"/>
      </items>
    </pivotField>
    <pivotField compact="0" showAll="0"/>
    <pivotField compact="0" numFmtId="177" showAll="0"/>
    <pivotField compact="0" numFmtId="3" showAll="0"/>
    <pivotField compact="0" numFmtId="3" showAll="0"/>
  </pivotFields>
  <dataFields count="1">
    <dataField name="Sum of Total Tests" fld="9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0.xml><?xml version="1.0" encoding="utf-8"?>
<pivotTableDefinition xmlns="http://schemas.openxmlformats.org/spreadsheetml/2006/main" name="PivotTable38" cacheId="22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117:B123" firstHeaderRow="1" firstDataRow="1" firstDataCol="1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multipleItemSelectionAllowed="1" showAll="0">
      <items count="11">
        <item x="6"/>
        <item x="3"/>
        <item x="0"/>
        <item x="2"/>
        <item x="5"/>
        <item x="1"/>
        <item h="1" x="9"/>
        <item h="1" x="7"/>
        <item h="1" x="4"/>
        <item h="1"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1">
        <item x="9"/>
        <item x="8"/>
        <item x="7"/>
        <item x="0"/>
        <item x="4"/>
        <item x="3"/>
        <item x="2"/>
        <item x="6"/>
        <item x="5"/>
        <item x="1"/>
        <item t="default"/>
      </items>
    </pivotField>
    <pivotField compact="0" showAll="0">
      <items count="11">
        <item x="9"/>
        <item x="8"/>
        <item x="6"/>
        <item x="5"/>
        <item x="7"/>
        <item x="4"/>
        <item x="3"/>
        <item x="2"/>
        <item x="1"/>
        <item x="0"/>
        <item t="default"/>
      </items>
    </pivotField>
    <pivotField compact="0" showAll="0">
      <items count="8">
        <item x="3"/>
        <item x="0"/>
        <item x="6"/>
        <item x="2"/>
        <item x="1"/>
        <item x="4"/>
        <item x="5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1">
        <item x="8"/>
        <item x="9"/>
        <item x="1"/>
        <item x="6"/>
        <item x="4"/>
        <item x="5"/>
        <item x="0"/>
        <item x="2"/>
        <item x="3"/>
        <item x="7"/>
        <item t="default"/>
      </items>
    </pivotField>
    <pivotField compact="0" showAll="0">
      <items count="11">
        <item x="8"/>
        <item x="6"/>
        <item x="1"/>
        <item x="4"/>
        <item x="0"/>
        <item x="5"/>
        <item x="2"/>
        <item x="3"/>
        <item x="7"/>
        <item x="9"/>
        <item t="default"/>
      </items>
    </pivotField>
    <pivotField compact="0" showAll="0">
      <items count="9">
        <item x="0"/>
        <item x="7"/>
        <item x="5"/>
        <item x="2"/>
        <item x="6"/>
        <item x="1"/>
        <item x="4"/>
        <item x="3"/>
        <item t="default"/>
      </items>
    </pivotField>
    <pivotField compact="0" showAll="0">
      <items count="9">
        <item x="0"/>
        <item x="1"/>
        <item x="6"/>
        <item x="5"/>
        <item x="4"/>
        <item x="2"/>
        <item x="7"/>
        <item x="3"/>
        <item t="default"/>
      </items>
    </pivotField>
    <pivotField compact="0" numFmtId="177" showAll="0">
      <items count="11">
        <item x="9"/>
        <item x="7"/>
        <item x="8"/>
        <item x="3"/>
        <item x="2"/>
        <item x="0"/>
        <item x="5"/>
        <item x="4"/>
        <item x="6"/>
        <item x="1"/>
        <item t="default"/>
      </items>
    </pivotField>
    <pivotField dataField="1" compact="0" showAll="0">
      <items count="11">
        <item x="9"/>
        <item x="0"/>
        <item x="7"/>
        <item x="4"/>
        <item x="3"/>
        <item x="2"/>
        <item x="6"/>
        <item x="1"/>
        <item x="5"/>
        <item x="8"/>
        <item t="default"/>
      </items>
    </pivotField>
    <pivotField compact="0" showAll="0">
      <items count="11">
        <item x="6"/>
        <item x="8"/>
        <item x="1"/>
        <item x="2"/>
        <item x="3"/>
        <item x="4"/>
        <item x="7"/>
        <item x="0"/>
        <item x="9"/>
        <item x="5"/>
        <item t="default"/>
      </items>
    </pivotField>
  </pivotFields>
  <rowFields count="1">
    <field x="1"/>
  </rowFields>
  <rowItems count="6">
    <i>
      <x v="4"/>
    </i>
    <i>
      <x v="5"/>
    </i>
    <i>
      <x/>
    </i>
    <i>
      <x v="3"/>
    </i>
    <i>
      <x v="1"/>
    </i>
    <i>
      <x v="2"/>
    </i>
  </rowItems>
  <colItems count="1">
    <i/>
  </colItems>
  <dataFields count="1">
    <dataField name="Sum of Mortality Rate" fld="1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1.xml><?xml version="1.0" encoding="utf-8"?>
<pivotTableDefinition xmlns="http://schemas.openxmlformats.org/spreadsheetml/2006/main" name="PivotTable39" cacheId="22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117:E123" firstHeaderRow="1" firstDataRow="1" firstDataCol="1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multipleItemSelectionAllowed="1" showAll="0">
      <items count="11">
        <item x="6"/>
        <item x="3"/>
        <item x="0"/>
        <item x="2"/>
        <item x="5"/>
        <item x="1"/>
        <item h="1" x="9"/>
        <item h="1" x="7"/>
        <item h="1" x="4"/>
        <item h="1" x="8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>
      <items count="11">
        <item x="9"/>
        <item x="8"/>
        <item x="7"/>
        <item x="0"/>
        <item x="4"/>
        <item x="3"/>
        <item x="2"/>
        <item x="6"/>
        <item x="5"/>
        <item x="1"/>
        <item t="default"/>
      </items>
    </pivotField>
    <pivotField compact="0" showAll="0">
      <items count="11">
        <item x="9"/>
        <item x="8"/>
        <item x="6"/>
        <item x="5"/>
        <item x="7"/>
        <item x="4"/>
        <item x="3"/>
        <item x="2"/>
        <item x="1"/>
        <item x="0"/>
        <item t="default"/>
      </items>
    </pivotField>
    <pivotField compact="0" showAll="0">
      <items count="8">
        <item x="3"/>
        <item x="0"/>
        <item x="6"/>
        <item x="2"/>
        <item x="1"/>
        <item x="4"/>
        <item x="5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11">
        <item x="8"/>
        <item x="9"/>
        <item x="1"/>
        <item x="6"/>
        <item x="4"/>
        <item x="5"/>
        <item x="0"/>
        <item x="2"/>
        <item x="3"/>
        <item x="7"/>
        <item t="default"/>
      </items>
    </pivotField>
    <pivotField compact="0" showAll="0">
      <items count="11">
        <item x="8"/>
        <item x="6"/>
        <item x="1"/>
        <item x="4"/>
        <item x="0"/>
        <item x="5"/>
        <item x="2"/>
        <item x="3"/>
        <item x="7"/>
        <item x="9"/>
        <item t="default"/>
      </items>
    </pivotField>
    <pivotField compact="0" showAll="0">
      <items count="9">
        <item x="0"/>
        <item x="7"/>
        <item x="5"/>
        <item x="2"/>
        <item x="6"/>
        <item x="1"/>
        <item x="4"/>
        <item x="3"/>
        <item t="default"/>
      </items>
    </pivotField>
    <pivotField compact="0" showAll="0">
      <items count="9">
        <item x="0"/>
        <item x="1"/>
        <item x="6"/>
        <item x="5"/>
        <item x="4"/>
        <item x="2"/>
        <item x="7"/>
        <item x="3"/>
        <item t="default"/>
      </items>
    </pivotField>
    <pivotField compact="0" numFmtId="177" showAll="0">
      <items count="11">
        <item x="9"/>
        <item x="7"/>
        <item x="8"/>
        <item x="3"/>
        <item x="2"/>
        <item x="0"/>
        <item x="5"/>
        <item x="4"/>
        <item x="6"/>
        <item x="1"/>
        <item t="default"/>
      </items>
    </pivotField>
    <pivotField compact="0" showAll="0">
      <items count="11">
        <item x="9"/>
        <item x="0"/>
        <item x="7"/>
        <item x="4"/>
        <item x="3"/>
        <item x="2"/>
        <item x="6"/>
        <item x="1"/>
        <item x="5"/>
        <item x="8"/>
        <item t="default"/>
      </items>
    </pivotField>
    <pivotField dataField="1" compact="0" showAll="0">
      <items count="11">
        <item x="6"/>
        <item x="8"/>
        <item x="1"/>
        <item x="2"/>
        <item x="3"/>
        <item x="4"/>
        <item x="7"/>
        <item x="0"/>
        <item x="9"/>
        <item x="5"/>
        <item t="default"/>
      </items>
    </pivotField>
  </pivotFields>
  <rowFields count="1">
    <field x="1"/>
  </rowFields>
  <rowItems count="6">
    <i>
      <x v="2"/>
    </i>
    <i>
      <x v="1"/>
    </i>
    <i>
      <x v="3"/>
    </i>
    <i>
      <x v="5"/>
    </i>
    <i>
      <x v="4"/>
    </i>
    <i>
      <x/>
    </i>
  </rowItems>
  <colItems count="1">
    <i/>
  </colItems>
  <dataFields count="1">
    <dataField name="Sum of Recovery Rate" fld="1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2.xml><?xml version="1.0" encoding="utf-8"?>
<pivotTableDefinition xmlns="http://schemas.openxmlformats.org/spreadsheetml/2006/main" name="PivotTable10" cacheId="5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55:B62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Liby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3.xml><?xml version="1.0" encoding="utf-8"?>
<pivotTableDefinition xmlns="http://schemas.openxmlformats.org/spreadsheetml/2006/main" name="PivotTable31" cacheId="17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63:E70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Sierra Leone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4.xml><?xml version="1.0" encoding="utf-8"?>
<pivotTableDefinition xmlns="http://schemas.openxmlformats.org/spreadsheetml/2006/main" name="PivotTable25" cacheId="1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15:C16" firstHeaderRow="1" firstDataRow="1" firstDataCol="0"/>
  <pivotFields count="14"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/>
    <pivotField compact="0" showAll="0"/>
    <pivotField compact="0" showAll="0"/>
    <pivotField dataField="1" compact="0" showAll="0">
      <items count="11">
        <item x="9"/>
        <item x="8"/>
        <item x="6"/>
        <item x="5"/>
        <item x="7"/>
        <item x="3"/>
        <item x="2"/>
        <item x="1"/>
        <item x="0"/>
        <item x="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77" showAll="0"/>
    <pivotField compact="0" numFmtId="3" showAll="0"/>
    <pivotField compact="0" numFmtId="3" showAll="0"/>
  </pivotFields>
  <dataFields count="1">
    <dataField name="Sum of Total Recovered" fld="4" baseField="0" baseItem="0" numFmtId="3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5.xml><?xml version="1.0" encoding="utf-8"?>
<pivotTableDefinition xmlns="http://schemas.openxmlformats.org/spreadsheetml/2006/main" name="PivotTable28" cacheId="14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36:E43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Sao Tome and Principe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6.xml><?xml version="1.0" encoding="utf-8"?>
<pivotTableDefinition xmlns="http://schemas.openxmlformats.org/spreadsheetml/2006/main" name="PivotTable29" cacheId="15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D45:E52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Chad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7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6">
  <location ref="A124:B129" firstHeaderRow="1" firstDataRow="1" firstDataCol="1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axis="axisRow" measureFilter="1" compact="0" multipleItemSelectionAllowed="1" showAll="0">
      <items count="11">
        <item x="8"/>
        <item x="2"/>
        <item x="4"/>
        <item x="6"/>
        <item x="5"/>
        <item x="3"/>
        <item x="9"/>
        <item x="0"/>
        <item x="1"/>
        <item x="7"/>
        <item t="default"/>
      </items>
    </pivotField>
    <pivotField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dataField="1"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rowFields count="1">
    <field x="1"/>
  </rowFields>
  <rowItems count="5">
    <i>
      <x v="2"/>
    </i>
    <i>
      <x v="3"/>
    </i>
    <i>
      <x v="5"/>
    </i>
    <i>
      <x v="7"/>
    </i>
    <i>
      <x v="8"/>
    </i>
  </rowItems>
  <colItems count="1">
    <i/>
  </colItems>
  <dataFields count="1">
    <dataField name="Sum of Total Tests" fld="9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8.xml><?xml version="1.0" encoding="utf-8"?>
<pivotTableDefinition xmlns="http://schemas.openxmlformats.org/spreadsheetml/2006/main" name="PivotTable13" cacheId="8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2">
  <location ref="A82:B89" firstHeaderRow="1" firstDataRow="1" firstDataCol="1"/>
  <pivotFields count="3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Kenya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9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mpact="0" indent="0" outline="1" compactData="0" outlineData="1" showDrill="1" multipleFieldFilters="0" chartFormat="4">
  <location ref="D124:E129" firstHeaderRow="1" firstDataRow="1" firstDataCol="1"/>
  <pivotFields count="14">
    <pivotField compact="0" showAll="0">
      <items count="11">
        <item x="0"/>
        <item x="3"/>
        <item x="1"/>
        <item x="2"/>
        <item x="5"/>
        <item x="4"/>
        <item x="9"/>
        <item x="6"/>
        <item x="7"/>
        <item x="8"/>
        <item t="default"/>
      </items>
    </pivotField>
    <pivotField axis="axisRow" measureFilter="1" compact="0" multipleItemSelectionAllowed="1" showAll="0">
      <items count="11">
        <item x="8"/>
        <item x="2"/>
        <item x="4"/>
        <item x="6"/>
        <item x="5"/>
        <item x="3"/>
        <item x="9"/>
        <item x="0"/>
        <item x="1"/>
        <item x="7"/>
        <item t="default"/>
      </items>
    </pivotField>
    <pivotField dataField="1" compact="0" numFmtId="3" showAll="0">
      <items count="11">
        <item x="8"/>
        <item x="7"/>
        <item x="6"/>
        <item x="9"/>
        <item x="4"/>
        <item x="5"/>
        <item x="2"/>
        <item x="1"/>
        <item x="3"/>
        <item x="0"/>
        <item t="default"/>
      </items>
    </pivotField>
    <pivotField compact="0" showAll="0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numFmtId="3" showAll="0">
      <items count="11">
        <item x="8"/>
        <item x="7"/>
        <item x="6"/>
        <item x="9"/>
        <item x="2"/>
        <item x="4"/>
        <item x="5"/>
        <item x="1"/>
        <item x="3"/>
        <item x="0"/>
        <item t="default"/>
      </items>
    </pivotField>
    <pivotField compact="0" showAll="0">
      <items count="11">
        <item x="7"/>
        <item x="9"/>
        <item x="6"/>
        <item x="5"/>
        <item x="8"/>
        <item x="3"/>
        <item x="0"/>
        <item x="4"/>
        <item x="2"/>
        <item x="1"/>
        <item t="default"/>
      </items>
    </pivotField>
    <pivotField compact="0" showAll="0">
      <items count="9">
        <item x="6"/>
        <item x="7"/>
        <item x="1"/>
        <item x="4"/>
        <item x="5"/>
        <item x="2"/>
        <item x="0"/>
        <item x="3"/>
        <item t="default"/>
      </items>
    </pivotField>
    <pivotField compact="0" numFmtId="3" showAll="0">
      <items count="11">
        <item x="4"/>
        <item x="2"/>
        <item x="6"/>
        <item x="7"/>
        <item x="3"/>
        <item x="0"/>
        <item x="5"/>
        <item x="1"/>
        <item x="8"/>
        <item x="9"/>
        <item t="default"/>
      </items>
    </pivotField>
    <pivotField compact="0" showAll="0">
      <items count="11">
        <item x="4"/>
        <item x="6"/>
        <item x="7"/>
        <item x="2"/>
        <item x="3"/>
        <item x="9"/>
        <item x="5"/>
        <item x="8"/>
        <item x="0"/>
        <item x="1"/>
        <item t="default"/>
      </items>
    </pivotField>
    <pivotField compact="0" numFmtId="3" showAll="0">
      <items count="11">
        <item x="9"/>
        <item x="8"/>
        <item x="5"/>
        <item x="7"/>
        <item x="2"/>
        <item x="6"/>
        <item x="1"/>
        <item x="4"/>
        <item x="3"/>
        <item x="0"/>
        <item t="default"/>
      </items>
    </pivotField>
    <pivotField compact="0" numFmtId="3" showAll="0">
      <items count="11">
        <item x="2"/>
        <item x="4"/>
        <item x="6"/>
        <item x="7"/>
        <item x="3"/>
        <item x="5"/>
        <item x="1"/>
        <item x="0"/>
        <item x="8"/>
        <item x="9"/>
        <item t="default"/>
      </items>
    </pivotField>
    <pivotField compact="0" numFmtId="177" showAll="0">
      <items count="11">
        <item x="9"/>
        <item x="8"/>
        <item x="5"/>
        <item x="1"/>
        <item x="7"/>
        <item x="3"/>
        <item x="6"/>
        <item x="0"/>
        <item x="2"/>
        <item x="4"/>
        <item t="default"/>
      </items>
    </pivotField>
    <pivotField compact="0" showAll="0">
      <items count="11">
        <item x="9"/>
        <item x="8"/>
        <item x="7"/>
        <item x="5"/>
        <item x="3"/>
        <item x="4"/>
        <item x="6"/>
        <item x="0"/>
        <item x="1"/>
        <item x="2"/>
        <item t="default"/>
      </items>
    </pivotField>
    <pivotField compact="0" showAll="0">
      <items count="11">
        <item x="2"/>
        <item x="4"/>
        <item x="0"/>
        <item x="1"/>
        <item x="6"/>
        <item x="8"/>
        <item x="3"/>
        <item x="5"/>
        <item x="7"/>
        <item x="9"/>
        <item t="default"/>
      </items>
    </pivotField>
  </pivotFields>
  <rowFields count="1">
    <field x="1"/>
  </rowFields>
  <rowItems count="5">
    <i>
      <x v="1"/>
    </i>
    <i>
      <x v="4"/>
    </i>
    <i>
      <x v="5"/>
    </i>
    <i>
      <x v="7"/>
    </i>
    <i>
      <x v="8"/>
    </i>
  </rowItems>
  <colItems count="1">
    <i/>
  </colItems>
  <dataFields count="1">
    <dataField name="Sum of Total Cases" fld="2" baseField="0" baseItem="0"/>
  </dataField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,">
  <pivotTables>
    <pivotTable tabId="13" name="PivotTable49"/>
    <pivotTable tabId="13" name="PivotTable43"/>
    <pivotTable tabId="13" name="PivotTable44"/>
    <pivotTable tabId="13" name="PivotTable45"/>
    <pivotTable tabId="13" name="PivotTable46"/>
    <pivotTable tabId="13" name="PivotTable47"/>
    <pivotTable tabId="13" name="PivotTable48"/>
  </pivotTables>
  <data>
    <tabular pivotCacheId="3">
      <items count="20">
        <i x="8" s="0"/>
        <i x="12" s="0"/>
        <i x="14" s="0"/>
        <i x="2" s="0"/>
        <i x="16" s="0"/>
        <i x="4" s="0"/>
        <i x="13" s="0"/>
        <i x="6" s="0"/>
        <i x="11" s="0"/>
        <i x="5" s="0"/>
        <i x="3" s="0"/>
        <i x="10" s="0"/>
        <i x="9" s="0"/>
        <i x="19" s="1"/>
        <i x="17" s="0"/>
        <i x="15" s="0"/>
        <i x="0" s="0"/>
        <i x="1" s="0"/>
        <i x="18" s="0"/>
        <i x="7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1" sourceName="Country,">
  <pivotTables>
    <pivotTable tabId="13" name="PivotTable3"/>
    <pivotTable tabId="13" name="PivotTable19"/>
    <pivotTable tabId="13" name="PivotTable20"/>
  </pivotTables>
  <data>
    <tabular pivotCacheId="1">
      <items count="10">
        <i x="8" s="1"/>
        <i x="2" s="1"/>
        <i x="4" s="1"/>
        <i x="6" s="1"/>
        <i x="5" s="1"/>
        <i x="3" s="1"/>
        <i x="9" s="0"/>
        <i x="0" s="0"/>
        <i x="1" s="0"/>
        <i x="7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2" sourceName="Country,">
  <pivotTables>
    <pivotTable tabId="13" name="PivotTable39"/>
    <pivotTable tabId="13" name="PivotTable38"/>
  </pivotTables>
  <data>
    <tabular pivotCacheId="2">
      <items count="10">
        <i x="6" s="1"/>
        <i x="3" s="1"/>
        <i x="0" s="1"/>
        <i x="2" s="1"/>
        <i x="5" s="1"/>
        <i x="1" s="1"/>
        <i x="9" s="0"/>
        <i x="7" s="0"/>
        <i x="4" s="0"/>
        <i x="8" s="0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, 1" cache="Slicer_Country1" caption="Country," columnCount="10" showCaption="0" rowHeight="225425"/>
  <slicer name="Country, 2" cache="Slicer_Country2" caption="Country," columnCount="5" showCaption="0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," cache="Slicer_Country" caption="Country," columnCount="10" showCaption="0" rowHeight="225425"/>
</slicers>
</file>

<file path=xl/tables/table1.xml><?xml version="1.0" encoding="utf-8"?>
<table xmlns="http://schemas.openxmlformats.org/spreadsheetml/2006/main" id="2" name="Table13" displayName="Table13" ref="A1:L60" totalsRowShown="0">
  <autoFilter xmlns:etc="http://www.wps.cn/officeDocument/2017/etCustomData" ref="A1:L60" etc:filterBottomFollowUsedRange="0"/>
  <sortState ref="A1:L60">
    <sortCondition ref="C1:C59" descending="1"/>
  </sortState>
  <tableColumns count="12">
    <tableColumn id="1" name="#" dataDxfId="1"/>
    <tableColumn id="2" name="Country," dataDxfId="2"/>
    <tableColumn id="3" name="Total Cases" dataDxfId="3"/>
    <tableColumn id="5" name="Total Deaths" dataDxfId="4"/>
    <tableColumn id="7" name="Total Recovered" dataDxfId="5"/>
    <tableColumn id="9" name="Active Cases" dataDxfId="6"/>
    <tableColumn id="10" name="Serious Critical" dataDxfId="7"/>
    <tableColumn id="11" name="Tot Cases/ 1M Pop" dataDxfId="8"/>
    <tableColumn id="12" name="Deaths/ 1M Pop" dataDxfId="9"/>
    <tableColumn id="13" name="Total Tests" dataDxfId="10"/>
    <tableColumn id="14" name="Tests/ 1M Pop" dataDxfId="11"/>
    <tableColumn id="15" name="Population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N11" totalsRowShown="0">
  <autoFilter xmlns:etc="http://www.wps.cn/officeDocument/2017/etCustomData" ref="A1:N11" etc:filterBottomFollowUsedRange="0"/>
  <tableColumns count="14">
    <tableColumn id="1" name="#"/>
    <tableColumn id="2" name="Country," dataDxfId="13"/>
    <tableColumn id="3" name="Total Cases"/>
    <tableColumn id="4" name="Total Deaths"/>
    <tableColumn id="5" name="Total Recovered"/>
    <tableColumn id="6" name="Active Cases"/>
    <tableColumn id="7" name="Serious Critical"/>
    <tableColumn id="8" name="Tot Cases/ 1M Pop"/>
    <tableColumn id="9" name="Deaths/ 1M Pop"/>
    <tableColumn id="10" name="Total Tests"/>
    <tableColumn id="11" name="Tests/ 1M Pop"/>
    <tableColumn id="12" name=" Population " dataDxfId="14"/>
    <tableColumn id="13" name="mortality rate" dataDxfId="15">
      <calculatedColumnFormula>D2/C2*100</calculatedColumnFormula>
    </tableColumn>
    <tableColumn id="14" name="recovered rate " dataDxfId="16">
      <calculatedColumnFormula>E2/C2*100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e411" displayName="Table411" ref="Q30:S37" totalsRowShown="0">
  <autoFilter xmlns:etc="http://www.wps.cn/officeDocument/2017/etCustomData" ref="Q30:S37" etc:filterBottomFollowUsedRange="0"/>
  <tableColumns count="3">
    <tableColumn id="1" name="Trend"/>
    <tableColumn id="2" name="Date"/>
    <tableColumn id="3" name="Saint Helen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L11" totalsRowShown="0">
  <autoFilter xmlns:etc="http://www.wps.cn/officeDocument/2017/etCustomData" ref="A1:L11" etc:filterBottomFollowUsedRange="0"/>
  <tableColumns count="12">
    <tableColumn id="1" name="S/N" dataDxfId="17"/>
    <tableColumn id="2" name="Country," dataDxfId="18"/>
    <tableColumn id="3" name="Total Cases" dataDxfId="19"/>
    <tableColumn id="4" name="Total Deaths" dataDxfId="20"/>
    <tableColumn id="5" name="Total Recovered" dataDxfId="21"/>
    <tableColumn id="6" name="Active Cases" dataDxfId="22"/>
    <tableColumn id="7" name="Serious Critical" dataDxfId="23"/>
    <tableColumn id="8" name="Tot Cases/ 1M Pop" dataDxfId="24"/>
    <tableColumn id="9" name="Deaths/ 1M Pop"/>
    <tableColumn id="10" name="Total Tests" dataDxfId="25"/>
    <tableColumn id="11" name="Tests/ 1M Pop" dataDxfId="26"/>
    <tableColumn id="12" name=" Population " dataDxfId="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9" Type="http://schemas.openxmlformats.org/officeDocument/2006/relationships/pivotTable" Target="../pivotTables/pivotTable49.xml"/><Relationship Id="rId48" Type="http://schemas.openxmlformats.org/officeDocument/2006/relationships/pivotTable" Target="../pivotTables/pivotTable48.xml"/><Relationship Id="rId47" Type="http://schemas.openxmlformats.org/officeDocument/2006/relationships/pivotTable" Target="../pivotTables/pivotTable47.xml"/><Relationship Id="rId46" Type="http://schemas.openxmlformats.org/officeDocument/2006/relationships/pivotTable" Target="../pivotTables/pivotTable46.xml"/><Relationship Id="rId45" Type="http://schemas.openxmlformats.org/officeDocument/2006/relationships/pivotTable" Target="../pivotTables/pivotTable45.xml"/><Relationship Id="rId44" Type="http://schemas.openxmlformats.org/officeDocument/2006/relationships/pivotTable" Target="../pivotTables/pivotTable44.xml"/><Relationship Id="rId43" Type="http://schemas.openxmlformats.org/officeDocument/2006/relationships/pivotTable" Target="../pivotTables/pivotTable43.xml"/><Relationship Id="rId42" Type="http://schemas.openxmlformats.org/officeDocument/2006/relationships/pivotTable" Target="../pivotTables/pivotTable42.xml"/><Relationship Id="rId41" Type="http://schemas.openxmlformats.org/officeDocument/2006/relationships/pivotTable" Target="../pivotTables/pivotTable41.xml"/><Relationship Id="rId40" Type="http://schemas.openxmlformats.org/officeDocument/2006/relationships/pivotTable" Target="../pivotTables/pivotTable40.xml"/><Relationship Id="rId4" Type="http://schemas.openxmlformats.org/officeDocument/2006/relationships/pivotTable" Target="../pivotTables/pivotTable4.xml"/><Relationship Id="rId39" Type="http://schemas.openxmlformats.org/officeDocument/2006/relationships/pivotTable" Target="../pivotTables/pivotTable39.xml"/><Relationship Id="rId38" Type="http://schemas.openxmlformats.org/officeDocument/2006/relationships/pivotTable" Target="../pivotTables/pivotTable38.xml"/><Relationship Id="rId37" Type="http://schemas.openxmlformats.org/officeDocument/2006/relationships/pivotTable" Target="../pivotTables/pivotTable37.xml"/><Relationship Id="rId36" Type="http://schemas.openxmlformats.org/officeDocument/2006/relationships/pivotTable" Target="../pivotTables/pivotTable36.xml"/><Relationship Id="rId35" Type="http://schemas.openxmlformats.org/officeDocument/2006/relationships/pivotTable" Target="../pivotTables/pivotTable35.xml"/><Relationship Id="rId34" Type="http://schemas.openxmlformats.org/officeDocument/2006/relationships/pivotTable" Target="../pivotTables/pivotTable34.xml"/><Relationship Id="rId33" Type="http://schemas.openxmlformats.org/officeDocument/2006/relationships/pivotTable" Target="../pivotTables/pivotTable33.xml"/><Relationship Id="rId32" Type="http://schemas.openxmlformats.org/officeDocument/2006/relationships/pivotTable" Target="../pivotTables/pivotTable32.xml"/><Relationship Id="rId31" Type="http://schemas.openxmlformats.org/officeDocument/2006/relationships/pivotTable" Target="../pivotTables/pivotTable31.xml"/><Relationship Id="rId30" Type="http://schemas.openxmlformats.org/officeDocument/2006/relationships/pivotTable" Target="../pivotTables/pivotTable30.xml"/><Relationship Id="rId3" Type="http://schemas.openxmlformats.org/officeDocument/2006/relationships/pivotTable" Target="../pivotTables/pivotTable3.xml"/><Relationship Id="rId29" Type="http://schemas.openxmlformats.org/officeDocument/2006/relationships/pivotTable" Target="../pivotTables/pivotTable29.xml"/><Relationship Id="rId28" Type="http://schemas.openxmlformats.org/officeDocument/2006/relationships/pivotTable" Target="../pivotTables/pivotTable28.xml"/><Relationship Id="rId27" Type="http://schemas.openxmlformats.org/officeDocument/2006/relationships/pivotTable" Target="../pivotTables/pivotTable27.xml"/><Relationship Id="rId26" Type="http://schemas.openxmlformats.org/officeDocument/2006/relationships/pivotTable" Target="../pivotTables/pivotTable26.xml"/><Relationship Id="rId25" Type="http://schemas.openxmlformats.org/officeDocument/2006/relationships/pivotTable" Target="../pivotTables/pivotTable25.xml"/><Relationship Id="rId24" Type="http://schemas.openxmlformats.org/officeDocument/2006/relationships/pivotTable" Target="../pivotTables/pivotTable24.xml"/><Relationship Id="rId23" Type="http://schemas.openxmlformats.org/officeDocument/2006/relationships/pivotTable" Target="../pivotTables/pivotTable23.xml"/><Relationship Id="rId22" Type="http://schemas.openxmlformats.org/officeDocument/2006/relationships/pivotTable" Target="../pivotTables/pivotTable22.xml"/><Relationship Id="rId21" Type="http://schemas.openxmlformats.org/officeDocument/2006/relationships/pivotTable" Target="../pivotTables/pivotTable21.xml"/><Relationship Id="rId20" Type="http://schemas.openxmlformats.org/officeDocument/2006/relationships/pivotTable" Target="../pivotTables/pivotTable20.xml"/><Relationship Id="rId2" Type="http://schemas.openxmlformats.org/officeDocument/2006/relationships/pivotTable" Target="../pivotTables/pivotTable2.xml"/><Relationship Id="rId19" Type="http://schemas.openxmlformats.org/officeDocument/2006/relationships/pivotTable" Target="../pivotTables/pivotTable19.xml"/><Relationship Id="rId18" Type="http://schemas.openxmlformats.org/officeDocument/2006/relationships/pivotTable" Target="../pivotTables/pivotTable18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4"/>
  <sheetViews>
    <sheetView workbookViewId="0">
      <selection activeCell="A1" sqref="A1:L11"/>
    </sheetView>
  </sheetViews>
  <sheetFormatPr defaultColWidth="9" defaultRowHeight="14.5"/>
  <cols>
    <col min="1" max="1" width="3.63636363636364" customWidth="1"/>
    <col min="2" max="2" width="19.9090909090909" customWidth="1"/>
    <col min="3" max="3" width="10.2727272727273" customWidth="1"/>
    <col min="4" max="4" width="7.36363636363636" customWidth="1"/>
    <col min="5" max="5" width="10" customWidth="1"/>
    <col min="6" max="6" width="6.90909090909091" customWidth="1"/>
    <col min="7" max="7" width="7.81818181818182" customWidth="1"/>
    <col min="8" max="8" width="11.8181818181818" customWidth="1"/>
    <col min="9" max="9" width="10" customWidth="1"/>
    <col min="10" max="10" width="9.81818181818182" customWidth="1"/>
    <col min="11" max="11" width="9" customWidth="1"/>
    <col min="12" max="12" width="15.6363636363636" style="29" customWidth="1"/>
  </cols>
  <sheetData>
    <row r="1" ht="18.75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11</v>
      </c>
    </row>
    <row r="2" ht="15.25" spans="1:12">
      <c r="A2" s="17">
        <v>1</v>
      </c>
      <c r="B2" s="18" t="s">
        <v>12</v>
      </c>
      <c r="C2" s="19">
        <v>3986892</v>
      </c>
      <c r="D2" s="19">
        <v>101620</v>
      </c>
      <c r="E2" s="19">
        <v>3871421</v>
      </c>
      <c r="F2" s="19">
        <v>13851</v>
      </c>
      <c r="G2" s="20">
        <v>192</v>
      </c>
      <c r="H2" s="19">
        <v>65599</v>
      </c>
      <c r="I2" s="19">
        <v>1672</v>
      </c>
      <c r="J2" s="19">
        <v>25604409</v>
      </c>
      <c r="K2" s="19">
        <v>421285</v>
      </c>
      <c r="L2" s="21">
        <v>60776880</v>
      </c>
    </row>
    <row r="3" ht="15.25" spans="1:12">
      <c r="A3" s="17">
        <v>2</v>
      </c>
      <c r="B3" s="18" t="s">
        <v>13</v>
      </c>
      <c r="C3" s="19">
        <v>1186597</v>
      </c>
      <c r="D3" s="19">
        <v>16087</v>
      </c>
      <c r="E3" s="19">
        <v>1160121</v>
      </c>
      <c r="F3" s="19">
        <v>10389</v>
      </c>
      <c r="G3" s="20">
        <v>293</v>
      </c>
      <c r="H3" s="19">
        <v>31417</v>
      </c>
      <c r="I3" s="20">
        <v>426</v>
      </c>
      <c r="J3" s="19">
        <v>11804007</v>
      </c>
      <c r="K3" s="19">
        <v>312527</v>
      </c>
      <c r="L3" s="21">
        <v>37769553</v>
      </c>
    </row>
    <row r="4" ht="15.25" spans="1:12">
      <c r="A4" s="17">
        <v>3</v>
      </c>
      <c r="B4" s="18" t="s">
        <v>14</v>
      </c>
      <c r="C4" s="19">
        <v>1044426</v>
      </c>
      <c r="D4" s="19">
        <v>28655</v>
      </c>
      <c r="E4" s="20"/>
      <c r="F4" s="20"/>
      <c r="G4" s="20">
        <v>29</v>
      </c>
      <c r="H4" s="19">
        <v>86592</v>
      </c>
      <c r="I4" s="19">
        <v>2376</v>
      </c>
      <c r="J4" s="19">
        <v>4647813</v>
      </c>
      <c r="K4" s="19">
        <v>385345</v>
      </c>
      <c r="L4" s="21">
        <v>12061430</v>
      </c>
    </row>
    <row r="5" ht="15.25" spans="1:12">
      <c r="A5" s="17">
        <v>4</v>
      </c>
      <c r="B5" s="18" t="s">
        <v>15</v>
      </c>
      <c r="C5" s="19">
        <v>515645</v>
      </c>
      <c r="D5" s="19">
        <v>24613</v>
      </c>
      <c r="E5" s="19">
        <v>442182</v>
      </c>
      <c r="F5" s="19">
        <v>48850</v>
      </c>
      <c r="G5" s="20">
        <v>122</v>
      </c>
      <c r="H5" s="19">
        <v>4859</v>
      </c>
      <c r="I5" s="20">
        <v>232</v>
      </c>
      <c r="J5" s="19">
        <v>3693367</v>
      </c>
      <c r="K5" s="19">
        <v>34802</v>
      </c>
      <c r="L5" s="21">
        <v>106123802</v>
      </c>
    </row>
    <row r="6" ht="15.25" spans="1:12">
      <c r="A6" s="17">
        <v>5</v>
      </c>
      <c r="B6" s="18" t="s">
        <v>16</v>
      </c>
      <c r="C6" s="19">
        <v>502110</v>
      </c>
      <c r="D6" s="19">
        <v>6430</v>
      </c>
      <c r="E6" s="19">
        <v>490973</v>
      </c>
      <c r="F6" s="19">
        <v>4707</v>
      </c>
      <c r="G6" s="20">
        <v>101</v>
      </c>
      <c r="H6" s="19">
        <v>71173</v>
      </c>
      <c r="I6" s="20">
        <v>911</v>
      </c>
      <c r="J6" s="19">
        <v>2477219</v>
      </c>
      <c r="K6" s="19">
        <v>351142</v>
      </c>
      <c r="L6" s="21">
        <v>7054748</v>
      </c>
    </row>
    <row r="7" ht="15.25" spans="1:12">
      <c r="A7" s="17">
        <v>6</v>
      </c>
      <c r="B7" s="18" t="s">
        <v>17</v>
      </c>
      <c r="C7" s="19">
        <v>484536</v>
      </c>
      <c r="D7" s="19">
        <v>7524</v>
      </c>
      <c r="E7" s="19">
        <v>458374</v>
      </c>
      <c r="F7" s="19">
        <v>18638</v>
      </c>
      <c r="G7" s="20">
        <v>39</v>
      </c>
      <c r="H7" s="19">
        <v>4019</v>
      </c>
      <c r="I7" s="20">
        <v>62</v>
      </c>
      <c r="J7" s="19">
        <v>5020764</v>
      </c>
      <c r="K7" s="19">
        <v>41647</v>
      </c>
      <c r="L7" s="21">
        <v>120553858</v>
      </c>
    </row>
    <row r="8" ht="15.25" spans="1:12">
      <c r="A8" s="17">
        <v>7</v>
      </c>
      <c r="B8" s="18" t="s">
        <v>18</v>
      </c>
      <c r="C8" s="19">
        <v>419968</v>
      </c>
      <c r="D8" s="20">
        <v>799</v>
      </c>
      <c r="E8" s="19">
        <v>417167</v>
      </c>
      <c r="F8" s="19">
        <v>2002</v>
      </c>
      <c r="G8" s="20">
        <v>10</v>
      </c>
      <c r="H8" s="19">
        <v>462593</v>
      </c>
      <c r="I8" s="20">
        <v>880</v>
      </c>
      <c r="J8" s="19">
        <v>1603660</v>
      </c>
      <c r="K8" s="19">
        <v>1766424</v>
      </c>
      <c r="L8" s="21">
        <v>907857</v>
      </c>
    </row>
    <row r="9" ht="15.25" spans="1:12">
      <c r="A9" s="17">
        <v>8</v>
      </c>
      <c r="B9" s="18" t="s">
        <v>19</v>
      </c>
      <c r="C9" s="19">
        <v>329605</v>
      </c>
      <c r="D9" s="19">
        <v>5651</v>
      </c>
      <c r="E9" s="19">
        <v>320798</v>
      </c>
      <c r="F9" s="19">
        <v>3156</v>
      </c>
      <c r="G9" s="20">
        <v>1</v>
      </c>
      <c r="H9" s="19">
        <v>5876</v>
      </c>
      <c r="I9" s="20">
        <v>101</v>
      </c>
      <c r="J9" s="19">
        <v>3724555</v>
      </c>
      <c r="K9" s="19">
        <v>66395</v>
      </c>
      <c r="L9" s="21">
        <v>56096568</v>
      </c>
    </row>
    <row r="10" ht="15.25" spans="1:12">
      <c r="A10" s="17">
        <v>9</v>
      </c>
      <c r="B10" s="18" t="s">
        <v>20</v>
      </c>
      <c r="C10" s="19">
        <v>324344</v>
      </c>
      <c r="D10" s="19">
        <v>3997</v>
      </c>
      <c r="E10" s="19">
        <v>319267</v>
      </c>
      <c r="F10" s="19">
        <v>1080</v>
      </c>
      <c r="G10" s="20">
        <v>1</v>
      </c>
      <c r="H10" s="19">
        <v>16723</v>
      </c>
      <c r="I10" s="20">
        <v>206</v>
      </c>
      <c r="J10" s="19">
        <v>3525519</v>
      </c>
      <c r="K10" s="19">
        <v>181778</v>
      </c>
      <c r="L10" s="21">
        <v>19394630</v>
      </c>
    </row>
    <row r="11" ht="15.25" spans="1:12">
      <c r="A11" s="17">
        <v>10</v>
      </c>
      <c r="B11" s="18" t="s">
        <v>21</v>
      </c>
      <c r="C11" s="19">
        <v>314242</v>
      </c>
      <c r="D11" s="19">
        <v>2709</v>
      </c>
      <c r="E11" s="19">
        <v>306118</v>
      </c>
      <c r="F11" s="19">
        <v>5415</v>
      </c>
      <c r="G11" s="20">
        <v>1</v>
      </c>
      <c r="H11" s="19">
        <v>128532</v>
      </c>
      <c r="I11" s="19">
        <v>1108</v>
      </c>
      <c r="J11" s="19">
        <v>2026898</v>
      </c>
      <c r="K11" s="19">
        <v>829049</v>
      </c>
      <c r="L11" s="21">
        <v>2444846</v>
      </c>
    </row>
    <row r="12" ht="15.25" spans="1:12">
      <c r="A12" s="17">
        <v>11</v>
      </c>
      <c r="B12" s="18" t="s">
        <v>22</v>
      </c>
      <c r="C12" s="19">
        <v>265985</v>
      </c>
      <c r="D12" s="19">
        <v>6875</v>
      </c>
      <c r="E12" s="19">
        <v>178470</v>
      </c>
      <c r="F12" s="19">
        <v>80640</v>
      </c>
      <c r="G12" s="20">
        <v>6</v>
      </c>
      <c r="H12" s="19">
        <v>5858</v>
      </c>
      <c r="I12" s="20">
        <v>151</v>
      </c>
      <c r="J12" s="19">
        <v>230861</v>
      </c>
      <c r="K12" s="19">
        <v>5084</v>
      </c>
      <c r="L12" s="21">
        <v>45405671</v>
      </c>
    </row>
    <row r="13" ht="15.25" spans="1:12">
      <c r="A13" s="17">
        <v>12</v>
      </c>
      <c r="B13" s="18" t="s">
        <v>23</v>
      </c>
      <c r="C13" s="19">
        <v>256573</v>
      </c>
      <c r="D13" s="19">
        <v>3144</v>
      </c>
      <c r="E13" s="19">
        <v>250155</v>
      </c>
      <c r="F13" s="19">
        <v>3274</v>
      </c>
      <c r="G13" s="20">
        <v>11</v>
      </c>
      <c r="H13" s="19">
        <v>1187</v>
      </c>
      <c r="I13" s="20">
        <v>15</v>
      </c>
      <c r="J13" s="19">
        <v>5219585</v>
      </c>
      <c r="K13" s="19">
        <v>24146</v>
      </c>
      <c r="L13" s="21">
        <v>216169488</v>
      </c>
    </row>
    <row r="14" ht="15.25" spans="1:12">
      <c r="A14" s="17">
        <v>13</v>
      </c>
      <c r="B14" s="18" t="s">
        <v>24</v>
      </c>
      <c r="C14" s="19">
        <v>254919</v>
      </c>
      <c r="D14" s="19">
        <v>5536</v>
      </c>
      <c r="E14" s="19">
        <v>247649</v>
      </c>
      <c r="F14" s="19">
        <v>1734</v>
      </c>
      <c r="G14" s="20">
        <v>12</v>
      </c>
      <c r="H14" s="19">
        <v>16675</v>
      </c>
      <c r="I14" s="20">
        <v>362</v>
      </c>
      <c r="J14" s="19">
        <v>2376488</v>
      </c>
      <c r="K14" s="19">
        <v>155451</v>
      </c>
      <c r="L14" s="21">
        <v>15287731</v>
      </c>
    </row>
    <row r="15" ht="15.25" spans="1:12">
      <c r="A15" s="17">
        <v>14</v>
      </c>
      <c r="B15" s="18" t="s">
        <v>25</v>
      </c>
      <c r="C15" s="19">
        <v>227161</v>
      </c>
      <c r="D15" s="19">
        <v>2210</v>
      </c>
      <c r="E15" s="19">
        <v>224387</v>
      </c>
      <c r="F15" s="20">
        <v>564</v>
      </c>
      <c r="G15" s="20">
        <v>13</v>
      </c>
      <c r="H15" s="19">
        <v>6889</v>
      </c>
      <c r="I15" s="20">
        <v>67</v>
      </c>
      <c r="J15" s="19">
        <v>1340855</v>
      </c>
      <c r="K15" s="19">
        <v>40664</v>
      </c>
      <c r="L15" s="21">
        <v>32974393</v>
      </c>
    </row>
    <row r="16" ht="15.25" spans="1:12">
      <c r="A16" s="17">
        <v>15</v>
      </c>
      <c r="B16" s="18" t="s">
        <v>26</v>
      </c>
      <c r="C16" s="19">
        <v>168904</v>
      </c>
      <c r="D16" s="19">
        <v>4056</v>
      </c>
      <c r="E16" s="19">
        <v>163612</v>
      </c>
      <c r="F16" s="19">
        <v>1236</v>
      </c>
      <c r="G16" s="20">
        <v>0</v>
      </c>
      <c r="H16" s="19">
        <v>64192</v>
      </c>
      <c r="I16" s="19">
        <v>1541</v>
      </c>
      <c r="J16" s="19">
        <v>1056045</v>
      </c>
      <c r="K16" s="19">
        <v>401348</v>
      </c>
      <c r="L16" s="21">
        <v>2631248</v>
      </c>
    </row>
    <row r="17" ht="15.25" spans="1:12">
      <c r="A17" s="17">
        <v>16</v>
      </c>
      <c r="B17" s="18" t="s">
        <v>27</v>
      </c>
      <c r="C17" s="19">
        <v>166954</v>
      </c>
      <c r="D17" s="19">
        <v>3615</v>
      </c>
      <c r="E17" s="19">
        <v>100395</v>
      </c>
      <c r="F17" s="19">
        <v>62944</v>
      </c>
      <c r="G17" s="20">
        <v>2</v>
      </c>
      <c r="H17" s="19">
        <v>3437</v>
      </c>
      <c r="I17" s="20">
        <v>74</v>
      </c>
      <c r="J17" s="19">
        <v>2747246</v>
      </c>
      <c r="K17" s="19">
        <v>56555</v>
      </c>
      <c r="L17" s="21">
        <v>48576561</v>
      </c>
    </row>
    <row r="18" ht="15.25" spans="1:12">
      <c r="A18" s="17">
        <v>17</v>
      </c>
      <c r="B18" s="18" t="s">
        <v>28</v>
      </c>
      <c r="C18" s="19">
        <v>164164</v>
      </c>
      <c r="D18" s="19">
        <v>1448</v>
      </c>
      <c r="E18" s="19">
        <v>161405</v>
      </c>
      <c r="F18" s="19">
        <v>1311</v>
      </c>
      <c r="G18" s="20">
        <v>2</v>
      </c>
      <c r="H18" s="19">
        <v>5075</v>
      </c>
      <c r="I18" s="20">
        <v>45</v>
      </c>
      <c r="J18" s="19">
        <v>2465238</v>
      </c>
      <c r="K18" s="19">
        <v>76214</v>
      </c>
      <c r="L18" s="21">
        <v>32346320</v>
      </c>
    </row>
    <row r="19" ht="15.25" spans="1:12">
      <c r="A19" s="17">
        <v>18</v>
      </c>
      <c r="B19" s="18" t="s">
        <v>29</v>
      </c>
      <c r="C19" s="19">
        <v>130608</v>
      </c>
      <c r="D19" s="19">
        <v>1459</v>
      </c>
      <c r="E19" s="19">
        <v>45522</v>
      </c>
      <c r="F19" s="19">
        <v>83627</v>
      </c>
      <c r="G19" s="20">
        <v>0</v>
      </c>
      <c r="H19" s="19">
        <v>9616</v>
      </c>
      <c r="I19" s="20">
        <v>107</v>
      </c>
      <c r="J19" s="19">
        <v>5526032</v>
      </c>
      <c r="K19" s="19">
        <v>406849</v>
      </c>
      <c r="L19" s="21">
        <v>13582512</v>
      </c>
    </row>
    <row r="20" ht="15.25" spans="1:12">
      <c r="A20" s="17">
        <v>19</v>
      </c>
      <c r="B20" s="18" t="s">
        <v>30</v>
      </c>
      <c r="C20" s="19">
        <v>119947</v>
      </c>
      <c r="D20" s="19">
        <v>1930</v>
      </c>
      <c r="E20" s="19">
        <v>117791</v>
      </c>
      <c r="F20" s="20">
        <v>226</v>
      </c>
      <c r="G20" s="20">
        <v>13</v>
      </c>
      <c r="H20" s="19">
        <v>4308</v>
      </c>
      <c r="I20" s="20">
        <v>69</v>
      </c>
      <c r="J20" s="19">
        <v>1751774</v>
      </c>
      <c r="K20" s="19">
        <v>62916</v>
      </c>
      <c r="L20" s="21">
        <v>27843058</v>
      </c>
    </row>
    <row r="21" ht="15.25" spans="1:12">
      <c r="A21" s="17">
        <v>20</v>
      </c>
      <c r="B21" s="18" t="s">
        <v>31</v>
      </c>
      <c r="C21" s="19">
        <v>99761</v>
      </c>
      <c r="D21" s="19">
        <v>1900</v>
      </c>
      <c r="E21" s="19">
        <v>97149</v>
      </c>
      <c r="F21" s="20">
        <v>712</v>
      </c>
      <c r="G21" s="20">
        <v>0</v>
      </c>
      <c r="H21" s="19">
        <v>2861</v>
      </c>
      <c r="I21" s="20">
        <v>54</v>
      </c>
      <c r="J21" s="19">
        <v>1499795</v>
      </c>
      <c r="K21" s="19">
        <v>43007</v>
      </c>
      <c r="L21" s="21">
        <v>34873116</v>
      </c>
    </row>
    <row r="22" ht="15.25" spans="1:12">
      <c r="A22" s="17">
        <v>21</v>
      </c>
      <c r="B22" s="18" t="s">
        <v>32</v>
      </c>
      <c r="C22" s="19">
        <v>90561</v>
      </c>
      <c r="D22" s="19">
        <v>1353</v>
      </c>
      <c r="E22" s="19">
        <v>50930</v>
      </c>
      <c r="F22" s="19">
        <v>38278</v>
      </c>
      <c r="G22" s="20">
        <v>0</v>
      </c>
      <c r="H22" s="20">
        <v>954</v>
      </c>
      <c r="I22" s="20">
        <v>14</v>
      </c>
      <c r="J22" s="19">
        <v>846704</v>
      </c>
      <c r="K22" s="19">
        <v>8921</v>
      </c>
      <c r="L22" s="21">
        <v>94906238</v>
      </c>
    </row>
    <row r="23" ht="15.25" spans="1:12">
      <c r="A23" s="17">
        <v>22</v>
      </c>
      <c r="B23" s="18" t="s">
        <v>33</v>
      </c>
      <c r="C23" s="19">
        <v>86230</v>
      </c>
      <c r="D23" s="19">
        <v>1968</v>
      </c>
      <c r="E23" s="19">
        <v>84230</v>
      </c>
      <c r="F23" s="20">
        <v>32</v>
      </c>
      <c r="G23" s="20">
        <v>0</v>
      </c>
      <c r="H23" s="19">
        <v>4897</v>
      </c>
      <c r="I23" s="20">
        <v>112</v>
      </c>
      <c r="J23" s="19">
        <v>1105284</v>
      </c>
      <c r="K23" s="19">
        <v>62764</v>
      </c>
      <c r="L23" s="21">
        <v>17610108</v>
      </c>
    </row>
    <row r="24" ht="15.25" spans="1:12">
      <c r="A24" s="17">
        <v>23</v>
      </c>
      <c r="B24" s="18" t="s">
        <v>34</v>
      </c>
      <c r="C24" s="19">
        <v>86225</v>
      </c>
      <c r="D24" s="19">
        <v>2644</v>
      </c>
      <c r="E24" s="19">
        <v>82966</v>
      </c>
      <c r="F24" s="20">
        <v>615</v>
      </c>
      <c r="G24" s="20">
        <v>67</v>
      </c>
      <c r="H24" s="19">
        <v>4290</v>
      </c>
      <c r="I24" s="20">
        <v>132</v>
      </c>
      <c r="J24" s="19">
        <v>588980</v>
      </c>
      <c r="K24" s="19">
        <v>29302</v>
      </c>
      <c r="L24" s="21">
        <v>20100349</v>
      </c>
    </row>
    <row r="25" ht="15.25" spans="1:12">
      <c r="A25" s="17">
        <v>24</v>
      </c>
      <c r="B25" s="18" t="s">
        <v>35</v>
      </c>
      <c r="C25" s="19">
        <v>82743</v>
      </c>
      <c r="D25" s="20">
        <v>802</v>
      </c>
      <c r="E25" s="19">
        <v>81809</v>
      </c>
      <c r="F25" s="20">
        <v>132</v>
      </c>
      <c r="G25" s="20">
        <v>0</v>
      </c>
      <c r="H25" s="19">
        <v>2991</v>
      </c>
      <c r="I25" s="20">
        <v>29</v>
      </c>
      <c r="J25" s="19">
        <v>1539450</v>
      </c>
      <c r="K25" s="19">
        <v>55655</v>
      </c>
      <c r="L25" s="21">
        <v>27660580</v>
      </c>
    </row>
    <row r="26" ht="15.25" spans="1:12">
      <c r="A26" s="17">
        <v>25</v>
      </c>
      <c r="B26" s="18" t="s">
        <v>36</v>
      </c>
      <c r="C26" s="19">
        <v>73013</v>
      </c>
      <c r="D26" s="19">
        <v>1415</v>
      </c>
      <c r="E26" s="19">
        <v>71586</v>
      </c>
      <c r="F26" s="20">
        <v>12</v>
      </c>
      <c r="G26" s="20">
        <v>11</v>
      </c>
      <c r="H26" s="19">
        <v>61679</v>
      </c>
      <c r="I26" s="19">
        <v>1195</v>
      </c>
      <c r="J26" s="19">
        <v>1033548</v>
      </c>
      <c r="K26" s="19">
        <v>873114</v>
      </c>
      <c r="L26" s="21">
        <v>1183749</v>
      </c>
    </row>
    <row r="27" ht="15.25" spans="1:12">
      <c r="A27" s="17">
        <v>26</v>
      </c>
      <c r="B27" s="18" t="s">
        <v>37</v>
      </c>
      <c r="C27" s="19">
        <v>65009</v>
      </c>
      <c r="D27" s="19">
        <v>1398</v>
      </c>
      <c r="E27" s="19">
        <v>63133</v>
      </c>
      <c r="F27" s="20">
        <v>478</v>
      </c>
      <c r="G27" s="20">
        <v>6</v>
      </c>
      <c r="H27" s="19">
        <v>2235</v>
      </c>
      <c r="I27" s="20">
        <v>48</v>
      </c>
      <c r="J27" s="19">
        <v>453438</v>
      </c>
      <c r="K27" s="19">
        <v>15588</v>
      </c>
      <c r="L27" s="21">
        <v>29088492</v>
      </c>
    </row>
    <row r="28" ht="15.25" spans="1:12">
      <c r="A28" s="17">
        <v>27</v>
      </c>
      <c r="B28" s="18" t="s">
        <v>38</v>
      </c>
      <c r="C28" s="19">
        <v>62521</v>
      </c>
      <c r="D28" s="19">
        <v>4950</v>
      </c>
      <c r="E28" s="20"/>
      <c r="F28" s="20"/>
      <c r="G28" s="20">
        <v>0</v>
      </c>
      <c r="H28" s="19">
        <v>1363</v>
      </c>
      <c r="I28" s="20">
        <v>108</v>
      </c>
      <c r="J28" s="19">
        <v>562941</v>
      </c>
      <c r="K28" s="19">
        <v>12275</v>
      </c>
      <c r="L28" s="21">
        <v>45859153</v>
      </c>
    </row>
    <row r="29" ht="15.25" spans="1:12">
      <c r="A29" s="17">
        <v>28</v>
      </c>
      <c r="B29" s="18" t="s">
        <v>39</v>
      </c>
      <c r="C29" s="19">
        <v>59310</v>
      </c>
      <c r="D29" s="20">
        <v>982</v>
      </c>
      <c r="E29" s="19">
        <v>58229</v>
      </c>
      <c r="F29" s="20">
        <v>99</v>
      </c>
      <c r="G29" s="20">
        <v>0</v>
      </c>
      <c r="H29" s="19">
        <v>12130</v>
      </c>
      <c r="I29" s="20">
        <v>201</v>
      </c>
      <c r="J29" s="19">
        <v>856093</v>
      </c>
      <c r="K29" s="19">
        <v>175085</v>
      </c>
      <c r="L29" s="21">
        <v>4889578</v>
      </c>
    </row>
    <row r="30" ht="15.25" spans="1:12">
      <c r="A30" s="17">
        <v>29</v>
      </c>
      <c r="B30" s="18" t="s">
        <v>40</v>
      </c>
      <c r="C30" s="19">
        <v>58271</v>
      </c>
      <c r="D30" s="20">
        <v>402</v>
      </c>
      <c r="E30" s="19">
        <v>56880</v>
      </c>
      <c r="F30" s="20">
        <v>989</v>
      </c>
      <c r="G30" s="20">
        <v>23</v>
      </c>
      <c r="H30" s="19">
        <v>102618</v>
      </c>
      <c r="I30" s="20">
        <v>708</v>
      </c>
      <c r="J30" s="19">
        <v>401416</v>
      </c>
      <c r="K30" s="19">
        <v>706912</v>
      </c>
      <c r="L30" s="21">
        <v>567844</v>
      </c>
    </row>
    <row r="31" ht="15.25" spans="1:12">
      <c r="A31" s="17">
        <v>30</v>
      </c>
      <c r="B31" s="18" t="s">
        <v>41</v>
      </c>
      <c r="C31" s="19">
        <v>47742</v>
      </c>
      <c r="D31" s="20">
        <v>304</v>
      </c>
      <c r="E31" s="19">
        <v>47330</v>
      </c>
      <c r="F31" s="20">
        <v>108</v>
      </c>
      <c r="G31" s="20">
        <v>0</v>
      </c>
      <c r="H31" s="19">
        <v>20500</v>
      </c>
      <c r="I31" s="20">
        <v>131</v>
      </c>
      <c r="J31" s="19">
        <v>1599902</v>
      </c>
      <c r="K31" s="19">
        <v>686997</v>
      </c>
      <c r="L31" s="21">
        <v>2328835</v>
      </c>
    </row>
    <row r="32" ht="15.25" spans="1:12">
      <c r="A32" s="17">
        <v>31</v>
      </c>
      <c r="B32" s="18" t="s">
        <v>42</v>
      </c>
      <c r="C32" s="19">
        <v>44521</v>
      </c>
      <c r="D32" s="20">
        <v>167</v>
      </c>
      <c r="E32" s="19">
        <v>43905</v>
      </c>
      <c r="F32" s="20">
        <v>449</v>
      </c>
      <c r="G32" s="20">
        <v>0</v>
      </c>
      <c r="H32" s="19">
        <v>447258</v>
      </c>
      <c r="I32" s="19">
        <v>1678</v>
      </c>
      <c r="J32" s="20"/>
      <c r="K32" s="20"/>
      <c r="L32" s="21">
        <v>99542</v>
      </c>
    </row>
    <row r="33" ht="15.25" spans="1:12">
      <c r="A33" s="17">
        <v>32</v>
      </c>
      <c r="B33" s="18" t="s">
        <v>43</v>
      </c>
      <c r="C33" s="19">
        <v>42398</v>
      </c>
      <c r="D33" s="20">
        <v>38</v>
      </c>
      <c r="E33" s="20"/>
      <c r="F33" s="20"/>
      <c r="G33" s="20">
        <v>0</v>
      </c>
      <c r="H33" s="19">
        <v>3369</v>
      </c>
      <c r="I33" s="20">
        <v>3</v>
      </c>
      <c r="J33" s="19">
        <v>345742</v>
      </c>
      <c r="K33" s="19">
        <v>27470</v>
      </c>
      <c r="L33" s="21">
        <v>12585955</v>
      </c>
    </row>
    <row r="34" ht="15.25" spans="1:12">
      <c r="A34" s="17">
        <v>33</v>
      </c>
      <c r="B34" s="18" t="s">
        <v>44</v>
      </c>
      <c r="C34" s="19">
        <v>38060</v>
      </c>
      <c r="D34" s="20">
        <v>996</v>
      </c>
      <c r="E34" s="19">
        <v>36416</v>
      </c>
      <c r="F34" s="20">
        <v>648</v>
      </c>
      <c r="G34" s="20">
        <v>0</v>
      </c>
      <c r="H34" s="19">
        <v>29830</v>
      </c>
      <c r="I34" s="20">
        <v>781</v>
      </c>
      <c r="J34" s="19">
        <v>358675</v>
      </c>
      <c r="K34" s="19">
        <v>281113</v>
      </c>
      <c r="L34" s="21">
        <v>1275911</v>
      </c>
    </row>
    <row r="35" ht="15.25" spans="1:12">
      <c r="A35" s="17">
        <v>34</v>
      </c>
      <c r="B35" s="18" t="s">
        <v>45</v>
      </c>
      <c r="C35" s="19">
        <v>37523</v>
      </c>
      <c r="D35" s="20">
        <v>187</v>
      </c>
      <c r="E35" s="19">
        <v>2964</v>
      </c>
      <c r="F35" s="19">
        <v>34372</v>
      </c>
      <c r="G35" s="20">
        <v>0</v>
      </c>
      <c r="H35" s="19">
        <v>131320</v>
      </c>
      <c r="I35" s="20">
        <v>654</v>
      </c>
      <c r="J35" s="19">
        <v>176919</v>
      </c>
      <c r="K35" s="19">
        <v>619167</v>
      </c>
      <c r="L35" s="21">
        <v>285737</v>
      </c>
    </row>
    <row r="36" ht="15.25" spans="1:12">
      <c r="A36" s="17">
        <v>35</v>
      </c>
      <c r="B36" s="18" t="s">
        <v>46</v>
      </c>
      <c r="C36" s="19">
        <v>37263</v>
      </c>
      <c r="D36" s="20">
        <v>273</v>
      </c>
      <c r="E36" s="19">
        <v>36923</v>
      </c>
      <c r="F36" s="20">
        <v>67</v>
      </c>
      <c r="G36" s="20">
        <v>0</v>
      </c>
      <c r="H36" s="19">
        <v>4303</v>
      </c>
      <c r="I36" s="20">
        <v>32</v>
      </c>
      <c r="J36" s="19">
        <v>748976</v>
      </c>
      <c r="K36" s="19">
        <v>86491</v>
      </c>
      <c r="L36" s="21">
        <v>8659633</v>
      </c>
    </row>
    <row r="37" ht="15.25" spans="1:12">
      <c r="A37" s="17">
        <v>36</v>
      </c>
      <c r="B37" s="18" t="s">
        <v>47</v>
      </c>
      <c r="C37" s="19">
        <v>36597</v>
      </c>
      <c r="D37" s="20">
        <v>442</v>
      </c>
      <c r="E37" s="19">
        <v>36113</v>
      </c>
      <c r="F37" s="20">
        <v>42</v>
      </c>
      <c r="G37" s="20">
        <v>8</v>
      </c>
      <c r="H37" s="19">
        <v>2646</v>
      </c>
      <c r="I37" s="20">
        <v>32</v>
      </c>
      <c r="J37" s="19">
        <v>660107</v>
      </c>
      <c r="K37" s="19">
        <v>47723</v>
      </c>
      <c r="L37" s="21">
        <v>13832073</v>
      </c>
    </row>
    <row r="38" ht="15.25" spans="1:12">
      <c r="A38" s="17">
        <v>37</v>
      </c>
      <c r="B38" s="18" t="s">
        <v>48</v>
      </c>
      <c r="C38" s="19">
        <v>35354</v>
      </c>
      <c r="D38" s="20">
        <v>840</v>
      </c>
      <c r="E38" s="20"/>
      <c r="F38" s="20"/>
      <c r="G38" s="20">
        <v>7</v>
      </c>
      <c r="H38" s="20">
        <v>561</v>
      </c>
      <c r="I38" s="20">
        <v>13</v>
      </c>
      <c r="J38" s="20"/>
      <c r="K38" s="20"/>
      <c r="L38" s="21">
        <v>63074146</v>
      </c>
    </row>
    <row r="39" ht="15.25" spans="1:12">
      <c r="A39" s="17">
        <v>38</v>
      </c>
      <c r="B39" s="18" t="s">
        <v>49</v>
      </c>
      <c r="C39" s="19">
        <v>33938</v>
      </c>
      <c r="D39" s="20">
        <v>699</v>
      </c>
      <c r="E39" s="19">
        <v>24155</v>
      </c>
      <c r="F39" s="19">
        <v>9084</v>
      </c>
      <c r="G39" s="20">
        <v>0</v>
      </c>
      <c r="H39" s="19">
        <v>15599</v>
      </c>
      <c r="I39" s="20">
        <v>321</v>
      </c>
      <c r="J39" s="19">
        <v>431221</v>
      </c>
      <c r="K39" s="19">
        <v>198209</v>
      </c>
      <c r="L39" s="21">
        <v>2175592</v>
      </c>
    </row>
    <row r="40" ht="15.25" spans="1:12">
      <c r="A40" s="17">
        <v>39</v>
      </c>
      <c r="B40" s="18" t="s">
        <v>50</v>
      </c>
      <c r="C40" s="19">
        <v>31140</v>
      </c>
      <c r="D40" s="20">
        <v>736</v>
      </c>
      <c r="E40" s="19">
        <v>30314</v>
      </c>
      <c r="F40" s="20">
        <v>90</v>
      </c>
      <c r="G40" s="20">
        <v>0</v>
      </c>
      <c r="H40" s="19">
        <v>1455</v>
      </c>
      <c r="I40" s="20">
        <v>34</v>
      </c>
      <c r="J40" s="19">
        <v>695582</v>
      </c>
      <c r="K40" s="19">
        <v>32510</v>
      </c>
      <c r="L40" s="21">
        <v>21395819</v>
      </c>
    </row>
    <row r="41" ht="15.25" spans="1:12">
      <c r="A41" s="17">
        <v>40</v>
      </c>
      <c r="B41" s="18" t="s">
        <v>51</v>
      </c>
      <c r="C41" s="19">
        <v>27122</v>
      </c>
      <c r="D41" s="20">
        <v>163</v>
      </c>
      <c r="E41" s="19">
        <v>25506</v>
      </c>
      <c r="F41" s="19">
        <v>1453</v>
      </c>
      <c r="G41" s="20">
        <v>5</v>
      </c>
      <c r="H41" s="19">
        <v>2128</v>
      </c>
      <c r="I41" s="20">
        <v>13</v>
      </c>
      <c r="J41" s="19">
        <v>604310</v>
      </c>
      <c r="K41" s="19">
        <v>47410</v>
      </c>
      <c r="L41" s="21">
        <v>12746550</v>
      </c>
    </row>
    <row r="42" ht="15.25" spans="1:12">
      <c r="A42" s="17">
        <v>41</v>
      </c>
      <c r="B42" s="18" t="s">
        <v>52</v>
      </c>
      <c r="C42" s="19">
        <v>26748</v>
      </c>
      <c r="D42" s="19">
        <v>1350</v>
      </c>
      <c r="E42" s="19">
        <v>13182</v>
      </c>
      <c r="F42" s="19">
        <v>12216</v>
      </c>
      <c r="G42" s="20">
        <v>0</v>
      </c>
      <c r="H42" s="19">
        <v>1596</v>
      </c>
      <c r="I42" s="20">
        <v>81</v>
      </c>
      <c r="J42" s="19">
        <v>400466</v>
      </c>
      <c r="K42" s="19">
        <v>23889</v>
      </c>
      <c r="L42" s="21">
        <v>16763641</v>
      </c>
    </row>
    <row r="43" ht="15.25" spans="1:12">
      <c r="A43" s="17">
        <v>42</v>
      </c>
      <c r="B43" s="18" t="s">
        <v>53</v>
      </c>
      <c r="C43" s="19">
        <v>24128</v>
      </c>
      <c r="D43" s="20">
        <v>385</v>
      </c>
      <c r="E43" s="19">
        <v>20178</v>
      </c>
      <c r="F43" s="19">
        <v>3565</v>
      </c>
      <c r="G43" s="20">
        <v>0</v>
      </c>
      <c r="H43" s="19">
        <v>4171</v>
      </c>
      <c r="I43" s="20">
        <v>67</v>
      </c>
      <c r="J43" s="19">
        <v>347815</v>
      </c>
      <c r="K43" s="19">
        <v>60126</v>
      </c>
      <c r="L43" s="21">
        <v>5784721</v>
      </c>
    </row>
    <row r="44" ht="15.25" spans="1:12">
      <c r="A44" s="17">
        <v>43</v>
      </c>
      <c r="B44" s="18" t="s">
        <v>54</v>
      </c>
      <c r="C44" s="19">
        <v>20853</v>
      </c>
      <c r="D44" s="20">
        <v>382</v>
      </c>
      <c r="E44" s="19">
        <v>20439</v>
      </c>
      <c r="F44" s="20">
        <v>32</v>
      </c>
      <c r="G44" s="20">
        <v>0</v>
      </c>
      <c r="H44" s="20">
        <v>947</v>
      </c>
      <c r="I44" s="20">
        <v>17</v>
      </c>
      <c r="J44" s="19">
        <v>248995</v>
      </c>
      <c r="K44" s="19">
        <v>11303</v>
      </c>
      <c r="L44" s="21">
        <v>22028456</v>
      </c>
    </row>
    <row r="45" ht="15.25" spans="1:12">
      <c r="A45" s="17">
        <v>44</v>
      </c>
      <c r="B45" s="18" t="s">
        <v>55</v>
      </c>
      <c r="C45" s="19">
        <v>17697</v>
      </c>
      <c r="D45" s="20">
        <v>138</v>
      </c>
      <c r="E45" s="19">
        <v>15630</v>
      </c>
      <c r="F45" s="19">
        <v>1929</v>
      </c>
      <c r="G45" s="20">
        <v>1</v>
      </c>
      <c r="H45" s="19">
        <v>1545</v>
      </c>
      <c r="I45" s="20">
        <v>12</v>
      </c>
      <c r="J45" s="19">
        <v>410280</v>
      </c>
      <c r="K45" s="19">
        <v>35828</v>
      </c>
      <c r="L45" s="21">
        <v>11451399</v>
      </c>
    </row>
    <row r="46" ht="15.25" spans="1:12">
      <c r="A46" s="17">
        <v>45</v>
      </c>
      <c r="B46" s="18" t="s">
        <v>56</v>
      </c>
      <c r="C46" s="19">
        <v>15951</v>
      </c>
      <c r="D46" s="20">
        <v>183</v>
      </c>
      <c r="E46" s="19">
        <v>15719</v>
      </c>
      <c r="F46" s="20">
        <v>49</v>
      </c>
      <c r="G46" s="20">
        <v>5</v>
      </c>
      <c r="H46" s="19">
        <v>10681</v>
      </c>
      <c r="I46" s="20">
        <v>123</v>
      </c>
      <c r="J46" s="19">
        <v>334363</v>
      </c>
      <c r="K46" s="19">
        <v>223885</v>
      </c>
      <c r="L46" s="21">
        <v>1493462</v>
      </c>
    </row>
    <row r="47" ht="15.25" spans="1:12">
      <c r="A47" s="17">
        <v>46</v>
      </c>
      <c r="B47" s="18" t="s">
        <v>57</v>
      </c>
      <c r="C47" s="19">
        <v>15686</v>
      </c>
      <c r="D47" s="20">
        <v>189</v>
      </c>
      <c r="E47" s="19">
        <v>15427</v>
      </c>
      <c r="F47" s="20">
        <v>70</v>
      </c>
      <c r="G47" s="20">
        <v>0</v>
      </c>
      <c r="H47" s="19">
        <v>15436</v>
      </c>
      <c r="I47" s="20">
        <v>186</v>
      </c>
      <c r="J47" s="19">
        <v>305941</v>
      </c>
      <c r="K47" s="19">
        <v>301061</v>
      </c>
      <c r="L47" s="21">
        <v>1016209</v>
      </c>
    </row>
    <row r="48" ht="15.25" spans="1:12">
      <c r="A48" s="17">
        <v>47</v>
      </c>
      <c r="B48" s="18" t="s">
        <v>58</v>
      </c>
      <c r="C48" s="19">
        <v>14649</v>
      </c>
      <c r="D48" s="20">
        <v>113</v>
      </c>
      <c r="E48" s="19">
        <v>6859</v>
      </c>
      <c r="F48" s="19">
        <v>7677</v>
      </c>
      <c r="G48" s="20">
        <v>2</v>
      </c>
      <c r="H48" s="19">
        <v>2933</v>
      </c>
      <c r="I48" s="20">
        <v>23</v>
      </c>
      <c r="J48" s="19">
        <v>81294</v>
      </c>
      <c r="K48" s="19">
        <v>16276</v>
      </c>
      <c r="L48" s="21">
        <v>4994635</v>
      </c>
    </row>
    <row r="49" ht="15.25" spans="1:12">
      <c r="A49" s="17">
        <v>48</v>
      </c>
      <c r="B49" s="18" t="s">
        <v>59</v>
      </c>
      <c r="C49" s="19">
        <v>12002</v>
      </c>
      <c r="D49" s="20">
        <v>365</v>
      </c>
      <c r="E49" s="19">
        <v>11591</v>
      </c>
      <c r="F49" s="20">
        <v>46</v>
      </c>
      <c r="G49" s="20">
        <v>0</v>
      </c>
      <c r="H49" s="19">
        <v>4707</v>
      </c>
      <c r="I49" s="20">
        <v>143</v>
      </c>
      <c r="J49" s="19">
        <v>155686</v>
      </c>
      <c r="K49" s="19">
        <v>61055</v>
      </c>
      <c r="L49" s="21">
        <v>2549944</v>
      </c>
    </row>
    <row r="50" ht="15.25" spans="1:12">
      <c r="A50" s="17">
        <v>49</v>
      </c>
      <c r="B50" s="18" t="s">
        <v>60</v>
      </c>
      <c r="C50" s="19">
        <v>9777</v>
      </c>
      <c r="D50" s="20">
        <v>103</v>
      </c>
      <c r="E50" s="19">
        <v>9667</v>
      </c>
      <c r="F50" s="20">
        <v>7</v>
      </c>
      <c r="G50" s="20">
        <v>0</v>
      </c>
      <c r="H50" s="19">
        <v>2684</v>
      </c>
      <c r="I50" s="20">
        <v>28</v>
      </c>
      <c r="J50" s="19">
        <v>23693</v>
      </c>
      <c r="K50" s="19">
        <v>6504</v>
      </c>
      <c r="L50" s="21">
        <v>3642792</v>
      </c>
    </row>
    <row r="51" ht="15.25" spans="1:12">
      <c r="A51" s="17">
        <v>50</v>
      </c>
      <c r="B51" s="18" t="s">
        <v>61</v>
      </c>
      <c r="C51" s="19">
        <v>9031</v>
      </c>
      <c r="D51" s="20">
        <v>310</v>
      </c>
      <c r="E51" s="19">
        <v>8628</v>
      </c>
      <c r="F51" s="20">
        <v>93</v>
      </c>
      <c r="G51" s="20">
        <v>1</v>
      </c>
      <c r="H51" s="20">
        <v>348</v>
      </c>
      <c r="I51" s="20">
        <v>12</v>
      </c>
      <c r="J51" s="19">
        <v>254538</v>
      </c>
      <c r="K51" s="19">
        <v>9818</v>
      </c>
      <c r="L51" s="21">
        <v>25926595</v>
      </c>
    </row>
    <row r="52" ht="15.25" spans="1:12">
      <c r="A52" s="17">
        <v>51</v>
      </c>
      <c r="B52" s="18" t="s">
        <v>62</v>
      </c>
      <c r="C52" s="19">
        <v>8307</v>
      </c>
      <c r="D52" s="20">
        <v>171</v>
      </c>
      <c r="E52" s="19">
        <v>8085</v>
      </c>
      <c r="F52" s="20">
        <v>51</v>
      </c>
      <c r="G52" s="20">
        <v>6</v>
      </c>
      <c r="H52" s="19">
        <v>4034</v>
      </c>
      <c r="I52" s="20">
        <v>83</v>
      </c>
      <c r="J52" s="19">
        <v>141581</v>
      </c>
      <c r="K52" s="19">
        <v>68752</v>
      </c>
      <c r="L52" s="21">
        <v>2059314</v>
      </c>
    </row>
    <row r="53" ht="15.25" spans="1:12">
      <c r="A53" s="17">
        <v>52</v>
      </c>
      <c r="B53" s="18" t="s">
        <v>63</v>
      </c>
      <c r="C53" s="19">
        <v>8100</v>
      </c>
      <c r="D53" s="20">
        <v>160</v>
      </c>
      <c r="E53" s="19">
        <v>7933</v>
      </c>
      <c r="F53" s="20">
        <v>7</v>
      </c>
      <c r="G53" s="20">
        <v>0</v>
      </c>
      <c r="H53" s="19">
        <v>8941</v>
      </c>
      <c r="I53" s="20">
        <v>177</v>
      </c>
      <c r="J53" s="20"/>
      <c r="K53" s="20"/>
      <c r="L53" s="21">
        <v>905968</v>
      </c>
    </row>
    <row r="54" ht="15.25" spans="1:12">
      <c r="A54" s="17">
        <v>53</v>
      </c>
      <c r="B54" s="18" t="s">
        <v>64</v>
      </c>
      <c r="C54" s="19">
        <v>7688</v>
      </c>
      <c r="D54" s="20">
        <v>125</v>
      </c>
      <c r="E54" s="20"/>
      <c r="F54" s="20"/>
      <c r="G54" s="20">
        <v>0</v>
      </c>
      <c r="H54" s="20">
        <v>927</v>
      </c>
      <c r="I54" s="20">
        <v>15</v>
      </c>
      <c r="J54" s="19">
        <v>259958</v>
      </c>
      <c r="K54" s="19">
        <v>31337</v>
      </c>
      <c r="L54" s="21">
        <v>8295458</v>
      </c>
    </row>
    <row r="55" ht="15.25" spans="1:12">
      <c r="A55" s="17">
        <v>54</v>
      </c>
      <c r="B55" s="18" t="s">
        <v>65</v>
      </c>
      <c r="C55" s="19">
        <v>7493</v>
      </c>
      <c r="D55" s="20">
        <v>294</v>
      </c>
      <c r="E55" s="19">
        <v>5747</v>
      </c>
      <c r="F55" s="19">
        <v>1452</v>
      </c>
      <c r="G55" s="20">
        <v>2</v>
      </c>
      <c r="H55" s="19">
        <v>1416</v>
      </c>
      <c r="I55" s="20">
        <v>56</v>
      </c>
      <c r="J55" s="19">
        <v>139824</v>
      </c>
      <c r="K55" s="19">
        <v>26427</v>
      </c>
      <c r="L55" s="21">
        <v>5291049</v>
      </c>
    </row>
    <row r="56" ht="15.25" spans="1:12">
      <c r="A56" s="17">
        <v>55</v>
      </c>
      <c r="B56" s="18" t="s">
        <v>66</v>
      </c>
      <c r="C56" s="19">
        <v>7424</v>
      </c>
      <c r="D56" s="20">
        <v>193</v>
      </c>
      <c r="E56" s="19">
        <v>4874</v>
      </c>
      <c r="F56" s="19">
        <v>2357</v>
      </c>
      <c r="G56" s="20">
        <v>0</v>
      </c>
      <c r="H56" s="20">
        <v>428</v>
      </c>
      <c r="I56" s="20">
        <v>11</v>
      </c>
      <c r="J56" s="19">
        <v>191341</v>
      </c>
      <c r="K56" s="19">
        <v>11028</v>
      </c>
      <c r="L56" s="21">
        <v>17351102</v>
      </c>
    </row>
    <row r="57" ht="15.25" spans="1:12">
      <c r="A57" s="17">
        <v>56</v>
      </c>
      <c r="B57" s="18" t="s">
        <v>67</v>
      </c>
      <c r="C57" s="19">
        <v>6023</v>
      </c>
      <c r="D57" s="20">
        <v>73</v>
      </c>
      <c r="E57" s="19">
        <v>5937</v>
      </c>
      <c r="F57" s="20">
        <v>13</v>
      </c>
      <c r="G57" s="20">
        <v>0</v>
      </c>
      <c r="H57" s="19">
        <v>26516</v>
      </c>
      <c r="I57" s="20">
        <v>321</v>
      </c>
      <c r="J57" s="19">
        <v>29036</v>
      </c>
      <c r="K57" s="19">
        <v>127828</v>
      </c>
      <c r="L57" s="21">
        <v>227149</v>
      </c>
    </row>
    <row r="58" ht="15.25" spans="1:12">
      <c r="A58" s="23">
        <v>57</v>
      </c>
      <c r="B58" s="18" t="s">
        <v>68</v>
      </c>
      <c r="C58" s="24">
        <v>10</v>
      </c>
      <c r="D58" s="24">
        <v>1</v>
      </c>
      <c r="E58" s="24">
        <v>9</v>
      </c>
      <c r="F58" s="24">
        <v>0</v>
      </c>
      <c r="G58" s="24">
        <v>0</v>
      </c>
      <c r="H58" s="24">
        <v>16</v>
      </c>
      <c r="I58" s="24">
        <v>2</v>
      </c>
      <c r="J58" s="24"/>
      <c r="K58" s="24"/>
      <c r="L58" s="21">
        <v>626170</v>
      </c>
    </row>
    <row r="59" ht="15.25" spans="1:12">
      <c r="A59" s="25">
        <v>58</v>
      </c>
      <c r="B59" s="18" t="s">
        <v>69</v>
      </c>
      <c r="C59" s="26">
        <v>2</v>
      </c>
      <c r="D59" s="26"/>
      <c r="E59" s="26">
        <v>2</v>
      </c>
      <c r="F59" s="26">
        <v>0</v>
      </c>
      <c r="G59" s="26">
        <v>0</v>
      </c>
      <c r="H59" s="26">
        <v>327</v>
      </c>
      <c r="I59" s="26"/>
      <c r="J59" s="26"/>
      <c r="K59" s="26"/>
      <c r="L59" s="21">
        <v>6112</v>
      </c>
    </row>
    <row r="60" spans="1:12">
      <c r="A60" s="30"/>
      <c r="B60" s="30"/>
      <c r="C60" s="31"/>
      <c r="D60" s="30"/>
      <c r="E60" s="31"/>
      <c r="F60" s="30"/>
      <c r="G60" s="32"/>
      <c r="H60" s="30"/>
      <c r="I60" s="32"/>
      <c r="J60" s="30"/>
      <c r="K60" s="30"/>
      <c r="L60" s="33"/>
    </row>
    <row r="62" ht="15.25"/>
    <row r="63" ht="15.25" spans="1:12">
      <c r="A63" s="34"/>
      <c r="B63" s="35"/>
      <c r="C63" s="36"/>
      <c r="D63" s="36"/>
      <c r="E63" s="36"/>
      <c r="F63" s="36"/>
      <c r="G63" s="34"/>
      <c r="H63" s="34"/>
      <c r="I63" s="34"/>
      <c r="J63" s="34"/>
      <c r="K63" s="34"/>
      <c r="L63" s="37"/>
    </row>
    <row r="64" spans="1:12">
      <c r="A64" s="38"/>
      <c r="B64" s="38"/>
      <c r="C64" s="39"/>
      <c r="D64" s="39"/>
      <c r="E64" s="39"/>
      <c r="F64" s="39"/>
      <c r="G64" s="38"/>
      <c r="H64" s="38"/>
      <c r="I64" s="38"/>
      <c r="J64" s="38"/>
      <c r="K64" s="38"/>
      <c r="L64" s="40"/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58" zoomScaleNormal="58" topLeftCell="A3" workbookViewId="0">
      <selection activeCell="K1" sqref="K1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opLeftCell="O5" workbookViewId="0">
      <selection activeCell="AS4" sqref="AS4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T138"/>
  <sheetViews>
    <sheetView topLeftCell="N129" workbookViewId="0">
      <selection activeCell="T138" sqref="T138"/>
    </sheetView>
  </sheetViews>
  <sheetFormatPr defaultColWidth="8.72727272727273" defaultRowHeight="14.5"/>
  <cols>
    <col min="1" max="1" width="13.8181818181818"/>
    <col min="2" max="2" width="21.1818181818182"/>
    <col min="3" max="3" width="18.1818181818182"/>
    <col min="4" max="4" width="13.8181818181818"/>
    <col min="5" max="5" width="20.9090909090909"/>
    <col min="6" max="6" width="10.2727272727273"/>
    <col min="7" max="7" width="13.8181818181818"/>
    <col min="8" max="8" width="19.1818181818182"/>
    <col min="9" max="9" width="11.5454545454545"/>
    <col min="10" max="10" width="13.8181818181818"/>
    <col min="11" max="11" width="22.7272727272727"/>
    <col min="13" max="13" width="12.1818181818182"/>
    <col min="14" max="14" width="17.9090909090909"/>
    <col min="16" max="16" width="12.1818181818182"/>
    <col min="17" max="17" width="17.8181818181818"/>
    <col min="19" max="19" width="12.1818181818182"/>
    <col min="20" max="20" width="22.9090909090909"/>
  </cols>
  <sheetData>
    <row r="3" spans="1:5">
      <c r="A3" t="s">
        <v>70</v>
      </c>
      <c r="C3" t="s">
        <v>71</v>
      </c>
    </row>
    <row r="4" spans="1:5">
      <c r="A4" s="22">
        <v>423184172</v>
      </c>
      <c r="C4" s="22">
        <v>64331709</v>
      </c>
      <c r="E4" s="27"/>
    </row>
    <row r="6" spans="1:5">
      <c r="A6" t="s">
        <v>72</v>
      </c>
      <c r="C6" t="s">
        <v>72</v>
      </c>
    </row>
    <row r="7" spans="1:5">
      <c r="A7" s="22">
        <v>64128211</v>
      </c>
      <c r="C7" s="22">
        <v>1039971</v>
      </c>
      <c r="E7" s="28"/>
    </row>
    <row r="9" spans="1:5">
      <c r="A9" t="s">
        <v>73</v>
      </c>
      <c r="C9" t="s">
        <v>73</v>
      </c>
    </row>
    <row r="10" spans="1:5">
      <c r="A10" s="22">
        <v>3332735</v>
      </c>
      <c r="C10" s="22">
        <v>63855</v>
      </c>
      <c r="E10" s="28"/>
    </row>
    <row r="12" spans="1:5">
      <c r="A12" t="s">
        <v>74</v>
      </c>
      <c r="C12" t="s">
        <v>74</v>
      </c>
      <c r="E12" s="28"/>
    </row>
    <row r="13" spans="1:5">
      <c r="A13" s="22">
        <v>198085</v>
      </c>
      <c r="C13" s="22">
        <v>1430</v>
      </c>
    </row>
    <row r="15" spans="1:5">
      <c r="A15" t="s">
        <v>75</v>
      </c>
      <c r="C15" t="s">
        <v>75</v>
      </c>
      <c r="E15" s="28"/>
    </row>
    <row r="16" spans="1:5">
      <c r="A16" s="22">
        <v>8802192</v>
      </c>
      <c r="C16" s="22">
        <v>50882</v>
      </c>
    </row>
    <row r="18" spans="1:5">
      <c r="A18" t="s">
        <v>76</v>
      </c>
      <c r="B18" t="s">
        <v>77</v>
      </c>
      <c r="D18" t="s">
        <v>76</v>
      </c>
      <c r="E18" t="s">
        <v>78</v>
      </c>
    </row>
    <row r="19" spans="1:5">
      <c r="A19" t="s">
        <v>79</v>
      </c>
      <c r="B19" s="22">
        <v>3981739</v>
      </c>
      <c r="D19" t="s">
        <v>79</v>
      </c>
      <c r="E19">
        <v>2</v>
      </c>
    </row>
    <row r="20" spans="1:5">
      <c r="A20" t="s">
        <v>80</v>
      </c>
      <c r="B20" s="22">
        <v>3981739</v>
      </c>
      <c r="D20" t="s">
        <v>80</v>
      </c>
      <c r="E20">
        <v>2</v>
      </c>
    </row>
    <row r="21" spans="1:5">
      <c r="A21" t="s">
        <v>81</v>
      </c>
      <c r="B21" s="22">
        <v>3984646</v>
      </c>
      <c r="D21" t="s">
        <v>81</v>
      </c>
      <c r="E21">
        <v>2</v>
      </c>
    </row>
    <row r="22" spans="1:5">
      <c r="A22" t="s">
        <v>82</v>
      </c>
      <c r="B22" s="22">
        <v>3985606</v>
      </c>
      <c r="D22" t="s">
        <v>82</v>
      </c>
      <c r="E22">
        <v>2</v>
      </c>
    </row>
    <row r="23" spans="1:5">
      <c r="A23" t="s">
        <v>83</v>
      </c>
      <c r="B23" s="22">
        <v>3985606</v>
      </c>
      <c r="D23" t="s">
        <v>83</v>
      </c>
      <c r="E23">
        <v>2</v>
      </c>
    </row>
    <row r="24" spans="1:5">
      <c r="A24" t="s">
        <v>84</v>
      </c>
      <c r="B24" s="22">
        <v>3986892</v>
      </c>
      <c r="D24" t="s">
        <v>84</v>
      </c>
      <c r="E24">
        <v>2</v>
      </c>
    </row>
    <row r="25" spans="1:5">
      <c r="A25" t="s">
        <v>85</v>
      </c>
      <c r="B25" s="22">
        <v>3987979</v>
      </c>
      <c r="D25" t="s">
        <v>85</v>
      </c>
      <c r="E25">
        <v>2</v>
      </c>
    </row>
    <row r="27" spans="1:5">
      <c r="A27" t="s">
        <v>76</v>
      </c>
      <c r="B27" t="s">
        <v>86</v>
      </c>
      <c r="D27" t="s">
        <v>76</v>
      </c>
      <c r="E27" t="s">
        <v>87</v>
      </c>
    </row>
    <row r="28" spans="1:5">
      <c r="A28" t="s">
        <v>79</v>
      </c>
      <c r="B28">
        <v>1179474</v>
      </c>
      <c r="D28" t="s">
        <v>79</v>
      </c>
      <c r="E28">
        <v>10</v>
      </c>
    </row>
    <row r="29" spans="1:5">
      <c r="A29" t="s">
        <v>80</v>
      </c>
      <c r="B29">
        <v>1179474</v>
      </c>
      <c r="D29" t="s">
        <v>80</v>
      </c>
      <c r="E29">
        <v>10</v>
      </c>
    </row>
    <row r="30" spans="1:5">
      <c r="A30" t="s">
        <v>81</v>
      </c>
      <c r="B30">
        <v>1182776</v>
      </c>
      <c r="D30" t="s">
        <v>81</v>
      </c>
      <c r="E30">
        <v>10</v>
      </c>
    </row>
    <row r="31" spans="1:5">
      <c r="A31" t="s">
        <v>82</v>
      </c>
      <c r="B31">
        <v>1184732</v>
      </c>
      <c r="D31" t="s">
        <v>82</v>
      </c>
      <c r="E31">
        <v>10</v>
      </c>
    </row>
    <row r="32" spans="1:5">
      <c r="A32" t="s">
        <v>83</v>
      </c>
      <c r="B32">
        <v>1184732</v>
      </c>
      <c r="D32" t="s">
        <v>83</v>
      </c>
      <c r="E32">
        <v>10</v>
      </c>
    </row>
    <row r="33" spans="1:5">
      <c r="A33" t="s">
        <v>84</v>
      </c>
      <c r="B33">
        <v>1186597</v>
      </c>
      <c r="D33" t="s">
        <v>84</v>
      </c>
      <c r="E33">
        <v>10</v>
      </c>
    </row>
    <row r="34" spans="1:5">
      <c r="A34" t="s">
        <v>85</v>
      </c>
      <c r="B34">
        <v>1189656</v>
      </c>
      <c r="D34" t="s">
        <v>85</v>
      </c>
      <c r="E34">
        <v>10</v>
      </c>
    </row>
    <row r="36" spans="1:5">
      <c r="D36" t="s">
        <v>76</v>
      </c>
      <c r="E36" t="s">
        <v>88</v>
      </c>
    </row>
    <row r="37" spans="1:5">
      <c r="A37" t="s">
        <v>76</v>
      </c>
      <c r="B37" t="s">
        <v>89</v>
      </c>
      <c r="D37" t="s">
        <v>79</v>
      </c>
      <c r="E37">
        <v>6010</v>
      </c>
    </row>
    <row r="38" spans="1:5">
      <c r="A38" t="s">
        <v>79</v>
      </c>
      <c r="B38">
        <v>1044426</v>
      </c>
      <c r="D38" t="s">
        <v>80</v>
      </c>
      <c r="E38">
        <v>6010</v>
      </c>
    </row>
    <row r="39" spans="1:5">
      <c r="A39" t="s">
        <v>80</v>
      </c>
      <c r="B39">
        <v>1044426</v>
      </c>
      <c r="D39" t="s">
        <v>81</v>
      </c>
      <c r="E39">
        <v>6010</v>
      </c>
    </row>
    <row r="40" spans="1:5">
      <c r="A40" t="s">
        <v>81</v>
      </c>
      <c r="B40">
        <v>1044426</v>
      </c>
      <c r="D40" t="s">
        <v>82</v>
      </c>
      <c r="E40">
        <v>6010</v>
      </c>
    </row>
    <row r="41" spans="1:5">
      <c r="A41" t="s">
        <v>82</v>
      </c>
      <c r="B41">
        <v>1044426</v>
      </c>
      <c r="D41" t="s">
        <v>83</v>
      </c>
      <c r="E41">
        <v>6010</v>
      </c>
    </row>
    <row r="42" spans="1:5">
      <c r="A42" t="s">
        <v>83</v>
      </c>
      <c r="B42">
        <v>1044426</v>
      </c>
      <c r="D42" t="s">
        <v>84</v>
      </c>
      <c r="E42">
        <v>6023</v>
      </c>
    </row>
    <row r="43" spans="1:5">
      <c r="A43" t="s">
        <v>84</v>
      </c>
      <c r="B43">
        <v>1044426</v>
      </c>
      <c r="D43" t="s">
        <v>85</v>
      </c>
      <c r="E43">
        <v>6023</v>
      </c>
    </row>
    <row r="44" spans="1:5">
      <c r="A44" t="s">
        <v>85</v>
      </c>
      <c r="B44">
        <v>1046703</v>
      </c>
    </row>
    <row r="45" spans="1:5">
      <c r="D45" t="s">
        <v>76</v>
      </c>
      <c r="E45" t="s">
        <v>90</v>
      </c>
    </row>
    <row r="46" spans="1:5">
      <c r="A46" t="s">
        <v>76</v>
      </c>
      <c r="B46" t="s">
        <v>91</v>
      </c>
      <c r="D46" t="s">
        <v>79</v>
      </c>
      <c r="E46">
        <v>7420</v>
      </c>
    </row>
    <row r="47" spans="1:5">
      <c r="A47" t="s">
        <v>79</v>
      </c>
      <c r="B47">
        <v>515645</v>
      </c>
      <c r="D47" t="s">
        <v>80</v>
      </c>
      <c r="E47">
        <v>7420</v>
      </c>
    </row>
    <row r="48" spans="1:5">
      <c r="A48" t="s">
        <v>80</v>
      </c>
      <c r="B48">
        <v>515645</v>
      </c>
      <c r="D48" t="s">
        <v>81</v>
      </c>
      <c r="E48">
        <v>7420</v>
      </c>
    </row>
    <row r="49" spans="1:5">
      <c r="A49" t="s">
        <v>81</v>
      </c>
      <c r="B49">
        <v>515645</v>
      </c>
      <c r="D49" t="s">
        <v>82</v>
      </c>
      <c r="E49">
        <v>7420</v>
      </c>
    </row>
    <row r="50" spans="1:5">
      <c r="A50" t="s">
        <v>82</v>
      </c>
      <c r="B50">
        <v>515645</v>
      </c>
      <c r="D50" t="s">
        <v>83</v>
      </c>
      <c r="E50">
        <v>7420</v>
      </c>
    </row>
    <row r="51" spans="1:5">
      <c r="A51" t="s">
        <v>83</v>
      </c>
      <c r="B51">
        <v>515645</v>
      </c>
      <c r="D51" t="s">
        <v>84</v>
      </c>
      <c r="E51">
        <v>7424</v>
      </c>
    </row>
    <row r="52" spans="1:5">
      <c r="A52" t="s">
        <v>84</v>
      </c>
      <c r="B52">
        <v>515645</v>
      </c>
      <c r="D52" t="s">
        <v>85</v>
      </c>
      <c r="E52">
        <v>7424</v>
      </c>
    </row>
    <row r="53" spans="1:5">
      <c r="A53" t="s">
        <v>85</v>
      </c>
      <c r="B53">
        <v>515645</v>
      </c>
    </row>
    <row r="54" spans="1:5">
      <c r="D54" t="s">
        <v>76</v>
      </c>
      <c r="E54" t="s">
        <v>92</v>
      </c>
    </row>
    <row r="55" spans="1:5">
      <c r="A55" t="s">
        <v>76</v>
      </c>
      <c r="B55" t="s">
        <v>93</v>
      </c>
      <c r="D55" t="s">
        <v>79</v>
      </c>
      <c r="E55">
        <v>7460</v>
      </c>
    </row>
    <row r="56" spans="1:5">
      <c r="A56" t="s">
        <v>79</v>
      </c>
      <c r="B56">
        <v>502076</v>
      </c>
      <c r="D56" t="s">
        <v>80</v>
      </c>
      <c r="E56">
        <v>7460</v>
      </c>
    </row>
    <row r="57" spans="1:5">
      <c r="A57" t="s">
        <v>80</v>
      </c>
      <c r="B57">
        <v>502076</v>
      </c>
      <c r="D57" t="s">
        <v>81</v>
      </c>
      <c r="E57">
        <v>7489</v>
      </c>
    </row>
    <row r="58" spans="1:5">
      <c r="A58" t="s">
        <v>81</v>
      </c>
      <c r="B58">
        <v>502076</v>
      </c>
      <c r="D58" t="s">
        <v>82</v>
      </c>
      <c r="E58">
        <v>7489</v>
      </c>
    </row>
    <row r="59" spans="1:5">
      <c r="A59" t="s">
        <v>82</v>
      </c>
      <c r="B59">
        <v>502076</v>
      </c>
      <c r="D59" t="s">
        <v>83</v>
      </c>
      <c r="E59">
        <v>7489</v>
      </c>
    </row>
    <row r="60" spans="1:5">
      <c r="A60" t="s">
        <v>83</v>
      </c>
      <c r="B60">
        <v>502076</v>
      </c>
      <c r="D60" t="s">
        <v>84</v>
      </c>
      <c r="E60">
        <v>7493</v>
      </c>
    </row>
    <row r="61" spans="1:5">
      <c r="A61" t="s">
        <v>84</v>
      </c>
      <c r="B61">
        <v>502110</v>
      </c>
      <c r="D61" t="s">
        <v>85</v>
      </c>
      <c r="E61">
        <v>7493</v>
      </c>
    </row>
    <row r="62" spans="1:5">
      <c r="A62" t="s">
        <v>85</v>
      </c>
      <c r="B62">
        <v>502110</v>
      </c>
    </row>
    <row r="63" spans="1:5">
      <c r="D63" t="s">
        <v>76</v>
      </c>
      <c r="E63" t="s">
        <v>94</v>
      </c>
    </row>
    <row r="64" spans="1:5">
      <c r="A64" t="s">
        <v>76</v>
      </c>
      <c r="B64" t="s">
        <v>95</v>
      </c>
      <c r="D64" t="s">
        <v>79</v>
      </c>
      <c r="E64">
        <v>7685</v>
      </c>
    </row>
    <row r="65" spans="1:5">
      <c r="A65" t="s">
        <v>79</v>
      </c>
      <c r="B65">
        <v>481225</v>
      </c>
      <c r="D65" t="s">
        <v>80</v>
      </c>
      <c r="E65">
        <v>7685</v>
      </c>
    </row>
    <row r="66" spans="1:5">
      <c r="A66" t="s">
        <v>80</v>
      </c>
      <c r="B66">
        <v>481225</v>
      </c>
      <c r="D66" t="s">
        <v>81</v>
      </c>
      <c r="E66">
        <v>7688</v>
      </c>
    </row>
    <row r="67" spans="1:5">
      <c r="A67" t="s">
        <v>81</v>
      </c>
      <c r="B67">
        <v>482888</v>
      </c>
      <c r="D67" t="s">
        <v>82</v>
      </c>
      <c r="E67">
        <v>7688</v>
      </c>
    </row>
    <row r="68" spans="1:5">
      <c r="A68" t="s">
        <v>82</v>
      </c>
      <c r="B68">
        <v>483739</v>
      </c>
      <c r="D68" t="s">
        <v>83</v>
      </c>
      <c r="E68">
        <v>7688</v>
      </c>
    </row>
    <row r="69" spans="1:5">
      <c r="A69" t="s">
        <v>83</v>
      </c>
      <c r="B69">
        <v>483739</v>
      </c>
      <c r="D69" t="s">
        <v>84</v>
      </c>
      <c r="E69">
        <v>7688</v>
      </c>
    </row>
    <row r="70" spans="1:5">
      <c r="A70" t="s">
        <v>84</v>
      </c>
      <c r="B70">
        <v>484536</v>
      </c>
      <c r="D70" t="s">
        <v>85</v>
      </c>
      <c r="E70">
        <v>7688</v>
      </c>
    </row>
    <row r="71" spans="1:5">
      <c r="A71" t="s">
        <v>85</v>
      </c>
      <c r="B71">
        <v>485047</v>
      </c>
    </row>
    <row r="72" spans="1:5">
      <c r="D72" t="s">
        <v>76</v>
      </c>
      <c r="E72" t="s">
        <v>96</v>
      </c>
    </row>
    <row r="73" spans="1:5">
      <c r="A73" t="s">
        <v>76</v>
      </c>
      <c r="B73" t="s">
        <v>97</v>
      </c>
      <c r="D73" t="s">
        <v>79</v>
      </c>
      <c r="E73">
        <v>8100</v>
      </c>
    </row>
    <row r="74" spans="1:5">
      <c r="A74" t="s">
        <v>79</v>
      </c>
      <c r="B74">
        <v>419968</v>
      </c>
      <c r="D74" t="s">
        <v>80</v>
      </c>
      <c r="E74">
        <v>8100</v>
      </c>
    </row>
    <row r="75" spans="1:5">
      <c r="A75" t="s">
        <v>80</v>
      </c>
      <c r="B75">
        <v>419968</v>
      </c>
      <c r="D75" t="s">
        <v>81</v>
      </c>
      <c r="E75">
        <v>8100</v>
      </c>
    </row>
    <row r="76" spans="1:5">
      <c r="A76" t="s">
        <v>81</v>
      </c>
      <c r="B76">
        <v>419968</v>
      </c>
      <c r="D76" t="s">
        <v>82</v>
      </c>
      <c r="E76">
        <v>8100</v>
      </c>
    </row>
    <row r="77" spans="1:5">
      <c r="A77" t="s">
        <v>82</v>
      </c>
      <c r="B77">
        <v>419968</v>
      </c>
      <c r="D77" t="s">
        <v>83</v>
      </c>
      <c r="E77">
        <v>8100</v>
      </c>
    </row>
    <row r="78" spans="1:5">
      <c r="A78" t="s">
        <v>83</v>
      </c>
      <c r="B78">
        <v>419968</v>
      </c>
      <c r="D78" t="s">
        <v>84</v>
      </c>
      <c r="E78">
        <v>8100</v>
      </c>
    </row>
    <row r="79" spans="1:5">
      <c r="A79" t="s">
        <v>84</v>
      </c>
      <c r="B79">
        <v>419968</v>
      </c>
      <c r="D79" t="s">
        <v>85</v>
      </c>
      <c r="E79">
        <v>8100</v>
      </c>
    </row>
    <row r="80" spans="1:5">
      <c r="A80" t="s">
        <v>85</v>
      </c>
      <c r="B80">
        <v>421269</v>
      </c>
    </row>
    <row r="82" spans="1:5">
      <c r="A82" t="s">
        <v>76</v>
      </c>
      <c r="B82" t="s">
        <v>98</v>
      </c>
      <c r="D82" t="s">
        <v>76</v>
      </c>
      <c r="E82" t="s">
        <v>99</v>
      </c>
    </row>
    <row r="83" spans="1:5">
      <c r="A83" t="s">
        <v>79</v>
      </c>
      <c r="B83">
        <v>327892</v>
      </c>
      <c r="D83" t="s">
        <v>79</v>
      </c>
      <c r="E83">
        <v>8307</v>
      </c>
    </row>
    <row r="84" spans="1:5">
      <c r="A84" t="s">
        <v>80</v>
      </c>
      <c r="B84">
        <v>327892</v>
      </c>
      <c r="D84" t="s">
        <v>80</v>
      </c>
      <c r="E84">
        <v>8307</v>
      </c>
    </row>
    <row r="85" spans="1:5">
      <c r="A85" t="s">
        <v>81</v>
      </c>
      <c r="B85">
        <v>328709</v>
      </c>
      <c r="D85" t="s">
        <v>81</v>
      </c>
      <c r="E85">
        <v>8307</v>
      </c>
    </row>
    <row r="86" spans="1:5">
      <c r="A86" t="s">
        <v>82</v>
      </c>
      <c r="B86">
        <v>329107</v>
      </c>
      <c r="D86" t="s">
        <v>82</v>
      </c>
      <c r="E86">
        <v>8307</v>
      </c>
    </row>
    <row r="87" spans="1:5">
      <c r="A87" t="s">
        <v>83</v>
      </c>
      <c r="B87">
        <v>329107</v>
      </c>
      <c r="D87" t="s">
        <v>83</v>
      </c>
      <c r="E87">
        <v>8307</v>
      </c>
    </row>
    <row r="88" spans="1:5">
      <c r="A88" t="s">
        <v>84</v>
      </c>
      <c r="B88">
        <v>329605</v>
      </c>
      <c r="D88" t="s">
        <v>84</v>
      </c>
      <c r="E88">
        <v>8307</v>
      </c>
    </row>
    <row r="89" spans="1:5">
      <c r="A89" t="s">
        <v>85</v>
      </c>
      <c r="B89">
        <v>330024</v>
      </c>
      <c r="D89" t="s">
        <v>85</v>
      </c>
      <c r="E89">
        <v>8347</v>
      </c>
    </row>
    <row r="91" spans="1:5">
      <c r="A91" t="s">
        <v>76</v>
      </c>
      <c r="B91" t="s">
        <v>100</v>
      </c>
      <c r="D91" t="s">
        <v>76</v>
      </c>
      <c r="E91" t="s">
        <v>101</v>
      </c>
    </row>
    <row r="92" spans="1:5">
      <c r="A92" t="s">
        <v>79</v>
      </c>
      <c r="B92">
        <v>323654</v>
      </c>
      <c r="D92" t="s">
        <v>79</v>
      </c>
      <c r="E92">
        <v>9031</v>
      </c>
    </row>
    <row r="93" spans="1:5">
      <c r="A93" t="s">
        <v>80</v>
      </c>
      <c r="B93">
        <v>323654</v>
      </c>
      <c r="D93" t="s">
        <v>80</v>
      </c>
      <c r="E93">
        <v>9031</v>
      </c>
    </row>
    <row r="94" spans="1:5">
      <c r="A94" t="s">
        <v>81</v>
      </c>
      <c r="B94">
        <v>324025</v>
      </c>
      <c r="D94" t="s">
        <v>81</v>
      </c>
      <c r="E94">
        <v>9031</v>
      </c>
    </row>
    <row r="95" spans="1:5">
      <c r="A95" t="s">
        <v>82</v>
      </c>
      <c r="B95">
        <v>324025</v>
      </c>
      <c r="D95" t="s">
        <v>82</v>
      </c>
      <c r="E95">
        <v>9031</v>
      </c>
    </row>
    <row r="96" spans="1:5">
      <c r="A96" t="s">
        <v>83</v>
      </c>
      <c r="B96">
        <v>324025</v>
      </c>
      <c r="D96" t="s">
        <v>83</v>
      </c>
      <c r="E96">
        <v>9031</v>
      </c>
    </row>
    <row r="97" spans="1:5">
      <c r="A97" t="s">
        <v>84</v>
      </c>
      <c r="B97">
        <v>324344</v>
      </c>
      <c r="D97" t="s">
        <v>84</v>
      </c>
      <c r="E97">
        <v>9031</v>
      </c>
    </row>
    <row r="98" spans="1:5">
      <c r="A98" t="s">
        <v>85</v>
      </c>
      <c r="B98">
        <v>324558</v>
      </c>
      <c r="D98" t="s">
        <v>85</v>
      </c>
      <c r="E98">
        <v>9031</v>
      </c>
    </row>
    <row r="100" spans="1:5">
      <c r="A100" t="s">
        <v>76</v>
      </c>
      <c r="B100" t="s">
        <v>102</v>
      </c>
      <c r="D100" t="s">
        <v>76</v>
      </c>
      <c r="E100" t="s">
        <v>103</v>
      </c>
    </row>
    <row r="101" spans="1:5">
      <c r="A101" t="s">
        <v>79</v>
      </c>
      <c r="B101">
        <v>314242</v>
      </c>
      <c r="D101" t="s">
        <v>79</v>
      </c>
      <c r="E101">
        <v>9773</v>
      </c>
    </row>
    <row r="102" spans="1:5">
      <c r="A102" t="s">
        <v>80</v>
      </c>
      <c r="B102">
        <v>314242</v>
      </c>
      <c r="D102" t="s">
        <v>80</v>
      </c>
      <c r="E102">
        <v>9773</v>
      </c>
    </row>
    <row r="103" spans="1:5">
      <c r="A103" t="s">
        <v>81</v>
      </c>
      <c r="B103">
        <v>314242</v>
      </c>
      <c r="D103" t="s">
        <v>81</v>
      </c>
      <c r="E103">
        <v>9775</v>
      </c>
    </row>
    <row r="104" spans="1:5">
      <c r="A104" t="s">
        <v>82</v>
      </c>
      <c r="B104">
        <v>314242</v>
      </c>
      <c r="D104" t="s">
        <v>82</v>
      </c>
      <c r="E104">
        <v>9777</v>
      </c>
    </row>
    <row r="105" spans="1:5">
      <c r="A105" t="s">
        <v>83</v>
      </c>
      <c r="B105">
        <v>314242</v>
      </c>
      <c r="D105" t="s">
        <v>83</v>
      </c>
      <c r="E105">
        <v>9777</v>
      </c>
    </row>
    <row r="106" spans="1:5">
      <c r="A106" t="s">
        <v>84</v>
      </c>
      <c r="B106">
        <v>314242</v>
      </c>
      <c r="D106" t="s">
        <v>84</v>
      </c>
      <c r="E106">
        <v>9777</v>
      </c>
    </row>
    <row r="107" spans="1:5">
      <c r="A107" t="s">
        <v>85</v>
      </c>
      <c r="B107">
        <v>318528</v>
      </c>
      <c r="D107" t="s">
        <v>85</v>
      </c>
      <c r="E107">
        <v>9782</v>
      </c>
    </row>
    <row r="110" spans="1:5">
      <c r="A110" t="s">
        <v>1</v>
      </c>
      <c r="B110" t="s">
        <v>104</v>
      </c>
      <c r="D110" t="s">
        <v>1</v>
      </c>
      <c r="E110" t="s">
        <v>105</v>
      </c>
    </row>
    <row r="111" spans="1:5">
      <c r="A111" t="s">
        <v>15</v>
      </c>
      <c r="B111">
        <v>4.77324515897565</v>
      </c>
      <c r="D111" t="s">
        <v>16</v>
      </c>
      <c r="E111">
        <v>97.7819601282587</v>
      </c>
    </row>
    <row r="112" spans="1:5">
      <c r="A112" t="s">
        <v>19</v>
      </c>
      <c r="B112">
        <v>1.71447641874365</v>
      </c>
      <c r="D112" t="s">
        <v>13</v>
      </c>
      <c r="E112">
        <v>97.7687454123009</v>
      </c>
    </row>
    <row r="113" spans="1:11">
      <c r="A113" t="s">
        <v>17</v>
      </c>
      <c r="B113">
        <v>1.55282579622567</v>
      </c>
      <c r="D113" t="s">
        <v>21</v>
      </c>
      <c r="E113">
        <v>97.4147313217202</v>
      </c>
    </row>
    <row r="114" spans="1:11">
      <c r="A114" t="s">
        <v>13</v>
      </c>
      <c r="B114">
        <v>1.35572565917493</v>
      </c>
      <c r="D114" t="s">
        <v>19</v>
      </c>
      <c r="E114">
        <v>97.3280138347416</v>
      </c>
    </row>
    <row r="115" spans="1:11">
      <c r="A115" t="s">
        <v>16</v>
      </c>
      <c r="B115">
        <v>1.28059588536376</v>
      </c>
      <c r="D115" t="s">
        <v>17</v>
      </c>
      <c r="E115">
        <v>94.6006075915928</v>
      </c>
    </row>
    <row r="116" spans="1:11">
      <c r="A116" t="s">
        <v>21</v>
      </c>
      <c r="B116">
        <v>0.862074452173802</v>
      </c>
      <c r="D116" t="s">
        <v>15</v>
      </c>
      <c r="E116">
        <v>85.7531829068448</v>
      </c>
    </row>
    <row r="117" spans="1:11">
      <c r="A117" t="s">
        <v>1</v>
      </c>
      <c r="B117" t="s">
        <v>104</v>
      </c>
      <c r="D117" t="s">
        <v>1</v>
      </c>
      <c r="E117" t="s">
        <v>105</v>
      </c>
    </row>
    <row r="118" spans="1:11">
      <c r="A118" t="s">
        <v>65</v>
      </c>
      <c r="B118">
        <v>3.9236620846123</v>
      </c>
      <c r="D118" t="s">
        <v>60</v>
      </c>
      <c r="E118">
        <v>98.8749105042447</v>
      </c>
    </row>
    <row r="119" spans="1:11">
      <c r="A119" t="s">
        <v>61</v>
      </c>
      <c r="B119">
        <v>3.43262097220684</v>
      </c>
      <c r="D119" t="s">
        <v>63</v>
      </c>
      <c r="E119">
        <v>97.9382716049383</v>
      </c>
    </row>
    <row r="120" spans="1:11">
      <c r="A120" t="s">
        <v>66</v>
      </c>
      <c r="B120">
        <v>2.59967672413793</v>
      </c>
      <c r="D120" t="s">
        <v>62</v>
      </c>
      <c r="E120">
        <v>97.3275550740339</v>
      </c>
    </row>
    <row r="121" spans="1:11">
      <c r="A121" t="s">
        <v>62</v>
      </c>
      <c r="B121">
        <v>2.05850487540628</v>
      </c>
      <c r="D121" t="s">
        <v>61</v>
      </c>
      <c r="E121">
        <v>95.5375927361311</v>
      </c>
    </row>
    <row r="122" spans="1:11">
      <c r="A122" t="s">
        <v>63</v>
      </c>
      <c r="B122">
        <v>1.97530864197531</v>
      </c>
      <c r="D122" t="s">
        <v>65</v>
      </c>
      <c r="E122">
        <v>76.6982517015881</v>
      </c>
    </row>
    <row r="123" spans="1:11">
      <c r="A123" t="s">
        <v>60</v>
      </c>
      <c r="B123">
        <v>1.05349289148</v>
      </c>
      <c r="D123" t="s">
        <v>66</v>
      </c>
      <c r="E123">
        <v>65.6519396551724</v>
      </c>
    </row>
    <row r="124" spans="1:11">
      <c r="A124" t="s">
        <v>1</v>
      </c>
      <c r="B124" t="s">
        <v>72</v>
      </c>
      <c r="D124" t="s">
        <v>1</v>
      </c>
      <c r="E124" t="s">
        <v>73</v>
      </c>
      <c r="G124" t="s">
        <v>1</v>
      </c>
      <c r="H124" t="s">
        <v>106</v>
      </c>
      <c r="J124" t="s">
        <v>1</v>
      </c>
      <c r="K124" t="s">
        <v>75</v>
      </c>
    </row>
    <row r="125" spans="1:11">
      <c r="A125" t="s">
        <v>17</v>
      </c>
      <c r="B125">
        <v>5020764</v>
      </c>
      <c r="D125" t="s">
        <v>15</v>
      </c>
      <c r="E125">
        <v>515645</v>
      </c>
      <c r="G125" t="s">
        <v>15</v>
      </c>
      <c r="H125">
        <v>48850</v>
      </c>
      <c r="J125" t="s">
        <v>12</v>
      </c>
      <c r="K125">
        <v>3871421</v>
      </c>
    </row>
    <row r="126" spans="1:11">
      <c r="A126" t="s">
        <v>19</v>
      </c>
      <c r="B126">
        <v>3724555</v>
      </c>
      <c r="D126" t="s">
        <v>16</v>
      </c>
      <c r="E126">
        <v>502110</v>
      </c>
      <c r="G126" t="s">
        <v>17</v>
      </c>
      <c r="H126">
        <v>18638</v>
      </c>
      <c r="J126" t="s">
        <v>13</v>
      </c>
      <c r="K126">
        <v>1160121</v>
      </c>
    </row>
    <row r="127" spans="1:11">
      <c r="A127" t="s">
        <v>13</v>
      </c>
      <c r="B127">
        <v>11804007</v>
      </c>
      <c r="D127" t="s">
        <v>13</v>
      </c>
      <c r="E127">
        <v>1186597</v>
      </c>
      <c r="G127" t="s">
        <v>12</v>
      </c>
      <c r="H127">
        <v>13851</v>
      </c>
      <c r="J127" t="s">
        <v>14</v>
      </c>
      <c r="K127">
        <v>1015771</v>
      </c>
    </row>
    <row r="128" spans="1:11">
      <c r="A128" t="s">
        <v>12</v>
      </c>
      <c r="B128">
        <v>25604409</v>
      </c>
      <c r="D128" t="s">
        <v>12</v>
      </c>
      <c r="E128">
        <v>3986892</v>
      </c>
      <c r="G128" t="s">
        <v>13</v>
      </c>
      <c r="H128">
        <v>10389</v>
      </c>
      <c r="J128" t="s">
        <v>16</v>
      </c>
      <c r="K128">
        <v>490973</v>
      </c>
    </row>
    <row r="129" spans="1:20">
      <c r="A129" t="s">
        <v>14</v>
      </c>
      <c r="B129">
        <v>4647813</v>
      </c>
      <c r="D129" t="s">
        <v>14</v>
      </c>
      <c r="E129">
        <v>1044426</v>
      </c>
      <c r="G129" t="s">
        <v>21</v>
      </c>
      <c r="H129">
        <v>5415</v>
      </c>
      <c r="J129" t="s">
        <v>17</v>
      </c>
      <c r="K129">
        <v>458374</v>
      </c>
    </row>
    <row r="131" spans="1:20">
      <c r="A131" t="s">
        <v>1</v>
      </c>
      <c r="B131" t="s">
        <v>72</v>
      </c>
      <c r="D131" t="s">
        <v>1</v>
      </c>
      <c r="E131" t="s">
        <v>73</v>
      </c>
      <c r="G131" t="s">
        <v>1</v>
      </c>
      <c r="H131" t="s">
        <v>106</v>
      </c>
      <c r="J131" t="s">
        <v>1</v>
      </c>
      <c r="K131" t="s">
        <v>75</v>
      </c>
    </row>
    <row r="132" spans="1:20">
      <c r="A132" t="s">
        <v>64</v>
      </c>
      <c r="B132">
        <v>259958</v>
      </c>
      <c r="D132" t="s">
        <v>60</v>
      </c>
      <c r="E132">
        <v>9777</v>
      </c>
      <c r="G132" t="s">
        <v>66</v>
      </c>
      <c r="H132">
        <v>2357</v>
      </c>
      <c r="J132" t="s">
        <v>60</v>
      </c>
      <c r="K132">
        <v>9667</v>
      </c>
    </row>
    <row r="133" spans="1:20">
      <c r="A133" t="s">
        <v>61</v>
      </c>
      <c r="B133">
        <v>254538</v>
      </c>
      <c r="D133" t="s">
        <v>61</v>
      </c>
      <c r="E133">
        <v>9031</v>
      </c>
      <c r="G133" t="s">
        <v>65</v>
      </c>
      <c r="H133">
        <v>1452</v>
      </c>
      <c r="J133" t="s">
        <v>61</v>
      </c>
      <c r="K133">
        <v>8628</v>
      </c>
    </row>
    <row r="134" spans="1:20">
      <c r="A134" t="s">
        <v>66</v>
      </c>
      <c r="B134">
        <v>191341</v>
      </c>
      <c r="D134" t="s">
        <v>62</v>
      </c>
      <c r="E134">
        <v>8307</v>
      </c>
      <c r="G134" t="s">
        <v>61</v>
      </c>
      <c r="H134">
        <v>93</v>
      </c>
      <c r="J134" t="s">
        <v>62</v>
      </c>
      <c r="K134">
        <v>8085</v>
      </c>
    </row>
    <row r="135" spans="1:20">
      <c r="A135" t="s">
        <v>62</v>
      </c>
      <c r="B135">
        <v>141581</v>
      </c>
      <c r="D135" t="s">
        <v>63</v>
      </c>
      <c r="E135">
        <v>8100</v>
      </c>
      <c r="G135" t="s">
        <v>62</v>
      </c>
      <c r="H135">
        <v>51</v>
      </c>
      <c r="J135" t="s">
        <v>63</v>
      </c>
      <c r="K135">
        <v>7933</v>
      </c>
    </row>
    <row r="137" spans="1:20">
      <c r="A137" t="s">
        <v>1</v>
      </c>
      <c r="B137" t="s">
        <v>73</v>
      </c>
      <c r="D137" t="s">
        <v>1</v>
      </c>
      <c r="E137" t="s">
        <v>106</v>
      </c>
      <c r="G137" t="s">
        <v>1</v>
      </c>
      <c r="H137" t="s">
        <v>75</v>
      </c>
      <c r="J137" t="s">
        <v>1</v>
      </c>
      <c r="K137" t="s">
        <v>107</v>
      </c>
      <c r="M137" t="s">
        <v>1</v>
      </c>
      <c r="N137" t="s">
        <v>70</v>
      </c>
      <c r="P137" t="s">
        <v>1</v>
      </c>
      <c r="Q137" t="s">
        <v>72</v>
      </c>
      <c r="S137" t="s">
        <v>1</v>
      </c>
      <c r="T137" t="s">
        <v>108</v>
      </c>
    </row>
    <row r="138" spans="1:20">
      <c r="A138" t="s">
        <v>69</v>
      </c>
      <c r="B138">
        <v>2</v>
      </c>
      <c r="D138" t="s">
        <v>69</v>
      </c>
      <c r="E138">
        <v>0</v>
      </c>
      <c r="G138" t="s">
        <v>69</v>
      </c>
      <c r="H138">
        <v>2</v>
      </c>
      <c r="J138" t="s">
        <v>69</v>
      </c>
      <c r="K138">
        <v>0</v>
      </c>
      <c r="M138" t="s">
        <v>69</v>
      </c>
      <c r="N138">
        <v>6112</v>
      </c>
      <c r="P138" t="s">
        <v>69</v>
      </c>
      <c r="S138" t="s">
        <v>69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50" zoomScaleNormal="50" topLeftCell="A3" workbookViewId="0">
      <selection activeCell="AI26" sqref="AI26"/>
    </sheetView>
  </sheetViews>
  <sheetFormatPr defaultColWidth="8.72727272727273" defaultRowHeight="14.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64" zoomScaleNormal="64" topLeftCell="A13" workbookViewId="0">
      <selection activeCell="S47" sqref="S47"/>
    </sheetView>
  </sheetViews>
  <sheetFormatPr defaultColWidth="8.72727272727273" defaultRowHeight="14.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60" zoomScaleNormal="60" topLeftCell="A5" workbookViewId="0">
      <selection activeCell="AE26" sqref="AE26"/>
    </sheetView>
  </sheetViews>
  <sheetFormatPr defaultColWidth="8.72727272727273" defaultRowHeight="14.5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workbookViewId="0">
      <selection activeCell="A1" sqref="A1:N11"/>
    </sheetView>
  </sheetViews>
  <sheetFormatPr defaultColWidth="9" defaultRowHeight="14.5"/>
  <cols>
    <col min="1" max="1" width="8.81818181818182" customWidth="1"/>
    <col min="2" max="2" width="21.8181818181818" customWidth="1"/>
    <col min="3" max="3" width="7.81818181818182" customWidth="1"/>
    <col min="4" max="4" width="8.36363636363636" customWidth="1"/>
    <col min="5" max="5" width="11" customWidth="1"/>
    <col min="6" max="6" width="8.72727272727273" customWidth="1"/>
    <col min="7" max="7" width="5.36363636363636" customWidth="1"/>
    <col min="12" max="12" width="10.4545454545455"/>
  </cols>
  <sheetData>
    <row r="1" ht="18.75" spans="1:1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6" t="s">
        <v>109</v>
      </c>
      <c r="M1" t="s">
        <v>110</v>
      </c>
      <c r="N1" t="s">
        <v>111</v>
      </c>
    </row>
    <row r="2" ht="15.25" spans="1:14">
      <c r="A2" s="17">
        <v>49</v>
      </c>
      <c r="B2" s="18" t="s">
        <v>60</v>
      </c>
      <c r="C2" s="19">
        <v>9777</v>
      </c>
      <c r="D2" s="20">
        <v>103</v>
      </c>
      <c r="E2" s="19">
        <v>9667</v>
      </c>
      <c r="F2" s="20">
        <v>7</v>
      </c>
      <c r="G2" s="20">
        <v>0</v>
      </c>
      <c r="H2" s="19">
        <v>2684</v>
      </c>
      <c r="I2" s="20">
        <v>28</v>
      </c>
      <c r="J2" s="19">
        <v>23693</v>
      </c>
      <c r="K2" s="19">
        <v>6504</v>
      </c>
      <c r="L2" s="21">
        <v>3642792</v>
      </c>
      <c r="M2" s="22">
        <f t="shared" ref="M2:M11" si="0">D2/C2*100</f>
        <v>1.05349289148</v>
      </c>
      <c r="N2" s="22">
        <f t="shared" ref="N2:N11" si="1">E2/C2*100</f>
        <v>98.8749105042447</v>
      </c>
    </row>
    <row r="3" ht="15.25" spans="1:14">
      <c r="A3" s="17">
        <v>50</v>
      </c>
      <c r="B3" s="18" t="s">
        <v>61</v>
      </c>
      <c r="C3" s="19">
        <v>9031</v>
      </c>
      <c r="D3" s="20">
        <v>310</v>
      </c>
      <c r="E3" s="19">
        <v>8628</v>
      </c>
      <c r="F3" s="20">
        <v>93</v>
      </c>
      <c r="G3" s="20">
        <v>1</v>
      </c>
      <c r="H3" s="20">
        <v>348</v>
      </c>
      <c r="I3" s="20">
        <v>12</v>
      </c>
      <c r="J3" s="19">
        <v>254538</v>
      </c>
      <c r="K3" s="19">
        <v>9818</v>
      </c>
      <c r="L3" s="21">
        <v>25926595</v>
      </c>
      <c r="M3" s="22">
        <f t="shared" si="0"/>
        <v>3.43262097220684</v>
      </c>
      <c r="N3" s="22">
        <f t="shared" si="1"/>
        <v>95.5375927361311</v>
      </c>
    </row>
    <row r="4" ht="15.25" spans="1:14">
      <c r="A4" s="17">
        <v>51</v>
      </c>
      <c r="B4" s="18" t="s">
        <v>62</v>
      </c>
      <c r="C4" s="19">
        <v>8307</v>
      </c>
      <c r="D4" s="20">
        <v>171</v>
      </c>
      <c r="E4" s="19">
        <v>8085</v>
      </c>
      <c r="F4" s="20">
        <v>51</v>
      </c>
      <c r="G4" s="20">
        <v>6</v>
      </c>
      <c r="H4" s="19">
        <v>4034</v>
      </c>
      <c r="I4" s="20">
        <v>83</v>
      </c>
      <c r="J4" s="19">
        <v>141581</v>
      </c>
      <c r="K4" s="19">
        <v>68752</v>
      </c>
      <c r="L4" s="21">
        <v>2059314</v>
      </c>
      <c r="M4" s="22">
        <f t="shared" si="0"/>
        <v>2.05850487540628</v>
      </c>
      <c r="N4" s="22">
        <f t="shared" si="1"/>
        <v>97.3275550740339</v>
      </c>
    </row>
    <row r="5" ht="15.25" spans="1:14">
      <c r="A5" s="17">
        <v>52</v>
      </c>
      <c r="B5" s="18" t="s">
        <v>63</v>
      </c>
      <c r="C5" s="19">
        <v>8100</v>
      </c>
      <c r="D5" s="20">
        <v>160</v>
      </c>
      <c r="E5" s="19">
        <v>7933</v>
      </c>
      <c r="F5" s="20">
        <v>7</v>
      </c>
      <c r="G5" s="20">
        <v>0</v>
      </c>
      <c r="H5" s="19">
        <v>8941</v>
      </c>
      <c r="I5" s="20">
        <v>177</v>
      </c>
      <c r="J5" s="20"/>
      <c r="K5" s="20"/>
      <c r="L5" s="21">
        <v>905968</v>
      </c>
      <c r="M5" s="22">
        <f t="shared" si="0"/>
        <v>1.97530864197531</v>
      </c>
      <c r="N5" s="22">
        <f t="shared" si="1"/>
        <v>97.9382716049383</v>
      </c>
    </row>
    <row r="6" ht="15.25" spans="1:14">
      <c r="A6" s="17">
        <v>53</v>
      </c>
      <c r="B6" s="18" t="s">
        <v>64</v>
      </c>
      <c r="C6" s="19">
        <v>7688</v>
      </c>
      <c r="D6" s="20">
        <v>125</v>
      </c>
      <c r="E6" s="20"/>
      <c r="F6" s="20"/>
      <c r="G6" s="20">
        <v>0</v>
      </c>
      <c r="H6" s="20">
        <v>927</v>
      </c>
      <c r="I6" s="20">
        <v>15</v>
      </c>
      <c r="J6" s="19">
        <v>259958</v>
      </c>
      <c r="K6" s="19">
        <v>31337</v>
      </c>
      <c r="L6" s="21">
        <v>8295458</v>
      </c>
      <c r="M6" s="22">
        <f t="shared" si="0"/>
        <v>1.62591050988554</v>
      </c>
      <c r="N6" s="22">
        <f t="shared" si="1"/>
        <v>0</v>
      </c>
    </row>
    <row r="7" ht="15.25" spans="1:14">
      <c r="A7" s="17">
        <v>54</v>
      </c>
      <c r="B7" s="18" t="s">
        <v>65</v>
      </c>
      <c r="C7" s="19">
        <v>7493</v>
      </c>
      <c r="D7" s="20">
        <v>294</v>
      </c>
      <c r="E7" s="19">
        <v>5747</v>
      </c>
      <c r="F7" s="19">
        <v>1452</v>
      </c>
      <c r="G7" s="20">
        <v>2</v>
      </c>
      <c r="H7" s="19">
        <v>1416</v>
      </c>
      <c r="I7" s="20">
        <v>56</v>
      </c>
      <c r="J7" s="19">
        <v>139824</v>
      </c>
      <c r="K7" s="19">
        <v>26427</v>
      </c>
      <c r="L7" s="21">
        <v>5291049</v>
      </c>
      <c r="M7" s="22">
        <f t="shared" si="0"/>
        <v>3.9236620846123</v>
      </c>
      <c r="N7" s="22">
        <f t="shared" si="1"/>
        <v>76.6982517015881</v>
      </c>
    </row>
    <row r="8" ht="15.25" spans="1:14">
      <c r="A8" s="17">
        <v>55</v>
      </c>
      <c r="B8" s="18" t="s">
        <v>66</v>
      </c>
      <c r="C8" s="19">
        <v>7424</v>
      </c>
      <c r="D8" s="20">
        <v>193</v>
      </c>
      <c r="E8" s="19">
        <v>4874</v>
      </c>
      <c r="F8" s="19">
        <v>2357</v>
      </c>
      <c r="G8" s="20">
        <v>0</v>
      </c>
      <c r="H8" s="20">
        <v>428</v>
      </c>
      <c r="I8" s="20">
        <v>11</v>
      </c>
      <c r="J8" s="19">
        <v>191341</v>
      </c>
      <c r="K8" s="19">
        <v>11028</v>
      </c>
      <c r="L8" s="21">
        <v>17351102</v>
      </c>
      <c r="M8" s="22">
        <f t="shared" si="0"/>
        <v>2.59967672413793</v>
      </c>
      <c r="N8" s="22">
        <f t="shared" si="1"/>
        <v>65.6519396551724</v>
      </c>
    </row>
    <row r="9" ht="15.25" spans="1:14">
      <c r="A9" s="17">
        <v>56</v>
      </c>
      <c r="B9" s="18" t="s">
        <v>67</v>
      </c>
      <c r="C9" s="19">
        <v>6023</v>
      </c>
      <c r="D9" s="20">
        <v>73</v>
      </c>
      <c r="E9" s="19">
        <v>5937</v>
      </c>
      <c r="F9" s="20">
        <v>13</v>
      </c>
      <c r="G9" s="20">
        <v>0</v>
      </c>
      <c r="H9" s="19">
        <v>26516</v>
      </c>
      <c r="I9" s="20">
        <v>321</v>
      </c>
      <c r="J9" s="19">
        <v>29036</v>
      </c>
      <c r="K9" s="19">
        <v>127828</v>
      </c>
      <c r="L9" s="21">
        <v>227149</v>
      </c>
      <c r="M9" s="22">
        <f t="shared" si="0"/>
        <v>1.21202058774697</v>
      </c>
      <c r="N9" s="22">
        <f t="shared" si="1"/>
        <v>98.5721401295036</v>
      </c>
    </row>
    <row r="10" ht="15.25" spans="1:14">
      <c r="A10" s="23">
        <v>57</v>
      </c>
      <c r="B10" s="18" t="s">
        <v>68</v>
      </c>
      <c r="C10" s="24">
        <v>10</v>
      </c>
      <c r="D10" s="24">
        <v>1</v>
      </c>
      <c r="E10" s="24">
        <v>9</v>
      </c>
      <c r="F10" s="24">
        <v>0</v>
      </c>
      <c r="G10" s="24">
        <v>0</v>
      </c>
      <c r="H10" s="24">
        <v>16</v>
      </c>
      <c r="I10" s="24">
        <v>2</v>
      </c>
      <c r="J10" s="24"/>
      <c r="K10" s="24"/>
      <c r="L10" s="21">
        <v>626170</v>
      </c>
      <c r="M10" s="22">
        <f t="shared" si="0"/>
        <v>10</v>
      </c>
      <c r="N10" s="22">
        <f t="shared" si="1"/>
        <v>90</v>
      </c>
    </row>
    <row r="11" spans="1:14">
      <c r="A11" s="25">
        <v>58</v>
      </c>
      <c r="B11" s="18" t="s">
        <v>69</v>
      </c>
      <c r="C11" s="26">
        <v>2</v>
      </c>
      <c r="D11" s="26"/>
      <c r="E11" s="26">
        <v>2</v>
      </c>
      <c r="F11" s="26">
        <v>0</v>
      </c>
      <c r="G11" s="26">
        <v>0</v>
      </c>
      <c r="H11" s="26">
        <v>327</v>
      </c>
      <c r="I11" s="26"/>
      <c r="J11" s="26"/>
      <c r="K11" s="26"/>
      <c r="L11" s="21">
        <v>6112</v>
      </c>
      <c r="M11" s="22">
        <f t="shared" si="0"/>
        <v>0</v>
      </c>
      <c r="N11" s="22">
        <f t="shared" si="1"/>
        <v>100</v>
      </c>
    </row>
  </sheetData>
  <pageMargins left="0.7" right="0.7" top="0.75" bottom="0.75" header="0.3" footer="0.3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zoomScale="65" zoomScaleNormal="65" workbookViewId="0">
      <selection activeCell="W15" sqref="W15"/>
    </sheetView>
  </sheetViews>
  <sheetFormatPr defaultColWidth="8.72727272727273" defaultRowHeight="14.5"/>
  <sheetData>
    <row r="1" spans="1:19">
      <c r="A1" s="9" t="s">
        <v>112</v>
      </c>
      <c r="B1" s="10" t="s">
        <v>76</v>
      </c>
      <c r="C1" s="10" t="s">
        <v>12</v>
      </c>
      <c r="E1" s="9" t="s">
        <v>112</v>
      </c>
      <c r="F1" s="10" t="s">
        <v>76</v>
      </c>
      <c r="G1" s="10" t="s">
        <v>13</v>
      </c>
      <c r="I1" s="9" t="s">
        <v>112</v>
      </c>
      <c r="J1" s="10" t="s">
        <v>76</v>
      </c>
      <c r="K1" s="10" t="s">
        <v>14</v>
      </c>
      <c r="M1" s="9" t="s">
        <v>112</v>
      </c>
      <c r="N1" s="10" t="s">
        <v>76</v>
      </c>
      <c r="O1" s="10" t="s">
        <v>15</v>
      </c>
      <c r="Q1" s="9" t="s">
        <v>112</v>
      </c>
      <c r="R1" s="10" t="s">
        <v>76</v>
      </c>
      <c r="S1" s="10" t="s">
        <v>16</v>
      </c>
    </row>
    <row r="2" spans="1:19">
      <c r="A2" s="11">
        <v>1</v>
      </c>
      <c r="B2" s="12" t="s">
        <v>79</v>
      </c>
      <c r="C2" s="12">
        <v>3981739</v>
      </c>
      <c r="E2" s="11">
        <v>1</v>
      </c>
      <c r="F2" s="12" t="s">
        <v>79</v>
      </c>
      <c r="G2" s="12">
        <v>1179474</v>
      </c>
      <c r="I2" s="11">
        <v>1</v>
      </c>
      <c r="J2" s="12" t="s">
        <v>79</v>
      </c>
      <c r="K2" s="12">
        <v>1044426</v>
      </c>
      <c r="M2" s="11">
        <v>1</v>
      </c>
      <c r="N2" s="12" t="s">
        <v>79</v>
      </c>
      <c r="O2" s="12">
        <v>515645</v>
      </c>
      <c r="Q2" s="11">
        <v>1</v>
      </c>
      <c r="R2" s="12" t="s">
        <v>79</v>
      </c>
      <c r="S2" s="12">
        <v>502076</v>
      </c>
    </row>
    <row r="3" spans="1:19">
      <c r="A3" s="13">
        <v>2</v>
      </c>
      <c r="B3" s="14" t="s">
        <v>80</v>
      </c>
      <c r="C3" s="14">
        <v>3981739</v>
      </c>
      <c r="E3" s="13">
        <v>2</v>
      </c>
      <c r="F3" s="14" t="s">
        <v>80</v>
      </c>
      <c r="G3" s="14">
        <v>1179474</v>
      </c>
      <c r="I3" s="13">
        <v>2</v>
      </c>
      <c r="J3" s="14" t="s">
        <v>80</v>
      </c>
      <c r="K3" s="14">
        <v>1044426</v>
      </c>
      <c r="M3" s="13">
        <v>2</v>
      </c>
      <c r="N3" s="14" t="s">
        <v>80</v>
      </c>
      <c r="O3" s="14">
        <v>515645</v>
      </c>
      <c r="Q3" s="13">
        <v>2</v>
      </c>
      <c r="R3" s="14" t="s">
        <v>80</v>
      </c>
      <c r="S3" s="14">
        <v>502076</v>
      </c>
    </row>
    <row r="4" spans="1:19">
      <c r="A4" s="11">
        <v>3</v>
      </c>
      <c r="B4" s="12" t="s">
        <v>81</v>
      </c>
      <c r="C4" s="12">
        <v>3984646</v>
      </c>
      <c r="E4" s="11">
        <v>3</v>
      </c>
      <c r="F4" s="12" t="s">
        <v>81</v>
      </c>
      <c r="G4" s="12">
        <v>1182776</v>
      </c>
      <c r="I4" s="11">
        <v>3</v>
      </c>
      <c r="J4" s="12" t="s">
        <v>81</v>
      </c>
      <c r="K4" s="12">
        <v>1044426</v>
      </c>
      <c r="M4" s="11">
        <v>3</v>
      </c>
      <c r="N4" s="12" t="s">
        <v>81</v>
      </c>
      <c r="O4" s="12">
        <v>515645</v>
      </c>
      <c r="Q4" s="11">
        <v>3</v>
      </c>
      <c r="R4" s="12" t="s">
        <v>81</v>
      </c>
      <c r="S4" s="12">
        <v>502076</v>
      </c>
    </row>
    <row r="5" spans="1:19">
      <c r="A5" s="13">
        <v>4</v>
      </c>
      <c r="B5" s="14" t="s">
        <v>82</v>
      </c>
      <c r="C5" s="14">
        <v>3985606</v>
      </c>
      <c r="E5" s="13">
        <v>4</v>
      </c>
      <c r="F5" s="14" t="s">
        <v>82</v>
      </c>
      <c r="G5" s="14">
        <v>1184732</v>
      </c>
      <c r="I5" s="13">
        <v>4</v>
      </c>
      <c r="J5" s="14" t="s">
        <v>82</v>
      </c>
      <c r="K5" s="14">
        <v>1044426</v>
      </c>
      <c r="M5" s="13">
        <v>4</v>
      </c>
      <c r="N5" s="14" t="s">
        <v>82</v>
      </c>
      <c r="O5" s="14">
        <v>515645</v>
      </c>
      <c r="Q5" s="13">
        <v>4</v>
      </c>
      <c r="R5" s="14" t="s">
        <v>82</v>
      </c>
      <c r="S5" s="14">
        <v>502076</v>
      </c>
    </row>
    <row r="6" spans="1:19">
      <c r="A6" s="11">
        <v>5</v>
      </c>
      <c r="B6" s="12" t="s">
        <v>83</v>
      </c>
      <c r="C6" s="12">
        <v>3985606</v>
      </c>
      <c r="E6" s="11">
        <v>5</v>
      </c>
      <c r="F6" s="12" t="s">
        <v>83</v>
      </c>
      <c r="G6" s="12">
        <v>1184732</v>
      </c>
      <c r="I6" s="11">
        <v>5</v>
      </c>
      <c r="J6" s="12" t="s">
        <v>83</v>
      </c>
      <c r="K6" s="12">
        <v>1044426</v>
      </c>
      <c r="M6" s="11">
        <v>5</v>
      </c>
      <c r="N6" s="12" t="s">
        <v>83</v>
      </c>
      <c r="O6" s="12">
        <v>515645</v>
      </c>
      <c r="Q6" s="11">
        <v>5</v>
      </c>
      <c r="R6" s="12" t="s">
        <v>83</v>
      </c>
      <c r="S6" s="12">
        <v>502076</v>
      </c>
    </row>
    <row r="7" spans="1:19">
      <c r="A7" s="13">
        <v>6</v>
      </c>
      <c r="B7" s="14" t="s">
        <v>84</v>
      </c>
      <c r="C7" s="14">
        <v>3986892</v>
      </c>
      <c r="E7" s="13">
        <v>6</v>
      </c>
      <c r="F7" s="14" t="s">
        <v>84</v>
      </c>
      <c r="G7" s="14">
        <v>1186597</v>
      </c>
      <c r="I7" s="13">
        <v>6</v>
      </c>
      <c r="J7" s="14" t="s">
        <v>84</v>
      </c>
      <c r="K7" s="14">
        <v>1044426</v>
      </c>
      <c r="M7" s="13">
        <v>6</v>
      </c>
      <c r="N7" s="14" t="s">
        <v>84</v>
      </c>
      <c r="O7" s="14">
        <v>515645</v>
      </c>
      <c r="Q7" s="13">
        <v>6</v>
      </c>
      <c r="R7" s="14" t="s">
        <v>84</v>
      </c>
      <c r="S7" s="14">
        <v>502110</v>
      </c>
    </row>
    <row r="8" spans="1:19">
      <c r="A8" s="11">
        <v>7</v>
      </c>
      <c r="B8" s="12" t="s">
        <v>85</v>
      </c>
      <c r="C8" s="12">
        <v>3987979</v>
      </c>
      <c r="E8" s="11">
        <v>7</v>
      </c>
      <c r="F8" s="12" t="s">
        <v>85</v>
      </c>
      <c r="G8" s="12">
        <v>1189656</v>
      </c>
      <c r="I8" s="11">
        <v>7</v>
      </c>
      <c r="J8" s="12" t="s">
        <v>85</v>
      </c>
      <c r="K8" s="12">
        <v>1046703</v>
      </c>
      <c r="M8" s="11">
        <v>7</v>
      </c>
      <c r="N8" s="12" t="s">
        <v>85</v>
      </c>
      <c r="O8" s="12">
        <v>515645</v>
      </c>
      <c r="Q8" s="11">
        <v>7</v>
      </c>
      <c r="R8" s="12" t="s">
        <v>85</v>
      </c>
      <c r="S8" s="12">
        <v>502110</v>
      </c>
    </row>
    <row r="10" spans="1:19">
      <c r="A10" s="9" t="s">
        <v>112</v>
      </c>
      <c r="B10" s="10" t="s">
        <v>76</v>
      </c>
      <c r="C10" s="10" t="s">
        <v>17</v>
      </c>
      <c r="E10" s="9" t="s">
        <v>112</v>
      </c>
      <c r="F10" s="10" t="s">
        <v>76</v>
      </c>
      <c r="G10" s="10" t="s">
        <v>18</v>
      </c>
      <c r="I10" s="9" t="s">
        <v>112</v>
      </c>
      <c r="J10" s="10" t="s">
        <v>76</v>
      </c>
      <c r="K10" s="10" t="s">
        <v>19</v>
      </c>
      <c r="M10" s="9" t="s">
        <v>112</v>
      </c>
      <c r="N10" s="10" t="s">
        <v>76</v>
      </c>
      <c r="O10" s="10" t="s">
        <v>20</v>
      </c>
      <c r="Q10" s="9" t="s">
        <v>112</v>
      </c>
      <c r="R10" s="10" t="s">
        <v>76</v>
      </c>
      <c r="S10" s="10" t="s">
        <v>21</v>
      </c>
    </row>
    <row r="11" spans="1:19">
      <c r="A11" s="11">
        <v>1</v>
      </c>
      <c r="B11" s="12" t="s">
        <v>79</v>
      </c>
      <c r="C11" s="12">
        <v>481225</v>
      </c>
      <c r="E11" s="11">
        <v>1</v>
      </c>
      <c r="F11" s="12" t="s">
        <v>79</v>
      </c>
      <c r="G11" s="12">
        <v>419968</v>
      </c>
      <c r="I11" s="11">
        <v>1</v>
      </c>
      <c r="J11" s="12" t="s">
        <v>79</v>
      </c>
      <c r="K11" s="12">
        <v>327892</v>
      </c>
      <c r="M11" s="11">
        <v>1</v>
      </c>
      <c r="N11" s="12" t="s">
        <v>79</v>
      </c>
      <c r="O11" s="12">
        <v>323654</v>
      </c>
      <c r="Q11" s="11">
        <v>1</v>
      </c>
      <c r="R11" s="12" t="s">
        <v>79</v>
      </c>
      <c r="S11" s="12">
        <v>314242</v>
      </c>
    </row>
    <row r="12" spans="1:19">
      <c r="A12" s="13">
        <v>2</v>
      </c>
      <c r="B12" s="14" t="s">
        <v>80</v>
      </c>
      <c r="C12" s="14">
        <v>481225</v>
      </c>
      <c r="E12" s="13">
        <v>2</v>
      </c>
      <c r="F12" s="14" t="s">
        <v>80</v>
      </c>
      <c r="G12" s="14">
        <v>419968</v>
      </c>
      <c r="I12" s="13">
        <v>2</v>
      </c>
      <c r="J12" s="14" t="s">
        <v>80</v>
      </c>
      <c r="K12" s="14">
        <v>327892</v>
      </c>
      <c r="M12" s="13">
        <v>2</v>
      </c>
      <c r="N12" s="14" t="s">
        <v>80</v>
      </c>
      <c r="O12" s="14">
        <v>323654</v>
      </c>
      <c r="Q12" s="13">
        <v>2</v>
      </c>
      <c r="R12" s="14" t="s">
        <v>80</v>
      </c>
      <c r="S12" s="14">
        <v>314242</v>
      </c>
    </row>
    <row r="13" spans="1:19">
      <c r="A13" s="11">
        <v>3</v>
      </c>
      <c r="B13" s="12" t="s">
        <v>81</v>
      </c>
      <c r="C13" s="12">
        <v>482888</v>
      </c>
      <c r="E13" s="11">
        <v>3</v>
      </c>
      <c r="F13" s="12" t="s">
        <v>81</v>
      </c>
      <c r="G13" s="12">
        <v>419968</v>
      </c>
      <c r="I13" s="11">
        <v>3</v>
      </c>
      <c r="J13" s="12" t="s">
        <v>81</v>
      </c>
      <c r="K13" s="12">
        <v>328709</v>
      </c>
      <c r="M13" s="11">
        <v>3</v>
      </c>
      <c r="N13" s="12" t="s">
        <v>81</v>
      </c>
      <c r="O13" s="12">
        <v>324025</v>
      </c>
      <c r="Q13" s="11">
        <v>3</v>
      </c>
      <c r="R13" s="12" t="s">
        <v>81</v>
      </c>
      <c r="S13" s="12">
        <v>314242</v>
      </c>
    </row>
    <row r="14" spans="1:19">
      <c r="A14" s="13">
        <v>4</v>
      </c>
      <c r="B14" s="14" t="s">
        <v>82</v>
      </c>
      <c r="C14" s="14">
        <v>483739</v>
      </c>
      <c r="E14" s="13">
        <v>4</v>
      </c>
      <c r="F14" s="14" t="s">
        <v>82</v>
      </c>
      <c r="G14" s="14">
        <v>419968</v>
      </c>
      <c r="I14" s="13">
        <v>4</v>
      </c>
      <c r="J14" s="14" t="s">
        <v>82</v>
      </c>
      <c r="K14" s="14">
        <v>329107</v>
      </c>
      <c r="M14" s="13">
        <v>4</v>
      </c>
      <c r="N14" s="14" t="s">
        <v>82</v>
      </c>
      <c r="O14" s="14">
        <v>324025</v>
      </c>
      <c r="Q14" s="13">
        <v>4</v>
      </c>
      <c r="R14" s="14" t="s">
        <v>82</v>
      </c>
      <c r="S14" s="14">
        <v>314242</v>
      </c>
    </row>
    <row r="15" spans="1:19">
      <c r="A15" s="11">
        <v>5</v>
      </c>
      <c r="B15" s="12" t="s">
        <v>83</v>
      </c>
      <c r="C15" s="12">
        <v>483739</v>
      </c>
      <c r="E15" s="11">
        <v>5</v>
      </c>
      <c r="F15" s="12" t="s">
        <v>83</v>
      </c>
      <c r="G15" s="12">
        <v>419968</v>
      </c>
      <c r="I15" s="11">
        <v>5</v>
      </c>
      <c r="J15" s="12" t="s">
        <v>83</v>
      </c>
      <c r="K15" s="12">
        <v>329107</v>
      </c>
      <c r="M15" s="11">
        <v>5</v>
      </c>
      <c r="N15" s="12" t="s">
        <v>83</v>
      </c>
      <c r="O15" s="12">
        <v>324025</v>
      </c>
      <c r="Q15" s="11">
        <v>5</v>
      </c>
      <c r="R15" s="12" t="s">
        <v>83</v>
      </c>
      <c r="S15" s="12">
        <v>314242</v>
      </c>
    </row>
    <row r="16" spans="1:19">
      <c r="A16" s="13">
        <v>6</v>
      </c>
      <c r="B16" s="14" t="s">
        <v>84</v>
      </c>
      <c r="C16" s="14">
        <v>484536</v>
      </c>
      <c r="E16" s="13">
        <v>6</v>
      </c>
      <c r="F16" s="14" t="s">
        <v>84</v>
      </c>
      <c r="G16" s="14">
        <v>419968</v>
      </c>
      <c r="I16" s="13">
        <v>6</v>
      </c>
      <c r="J16" s="14" t="s">
        <v>84</v>
      </c>
      <c r="K16" s="14">
        <v>329605</v>
      </c>
      <c r="M16" s="13">
        <v>6</v>
      </c>
      <c r="N16" s="14" t="s">
        <v>84</v>
      </c>
      <c r="O16" s="14">
        <v>324344</v>
      </c>
      <c r="Q16" s="13">
        <v>6</v>
      </c>
      <c r="R16" s="14" t="s">
        <v>84</v>
      </c>
      <c r="S16" s="14">
        <v>314242</v>
      </c>
    </row>
    <row r="17" spans="1:19">
      <c r="A17" s="11">
        <v>7</v>
      </c>
      <c r="B17" s="12" t="s">
        <v>85</v>
      </c>
      <c r="C17" s="12">
        <v>485047</v>
      </c>
      <c r="E17" s="11">
        <v>7</v>
      </c>
      <c r="F17" s="12" t="s">
        <v>85</v>
      </c>
      <c r="G17" s="12">
        <v>421269</v>
      </c>
      <c r="I17" s="11">
        <v>7</v>
      </c>
      <c r="J17" s="12" t="s">
        <v>85</v>
      </c>
      <c r="K17" s="12">
        <v>330024</v>
      </c>
      <c r="M17" s="11">
        <v>7</v>
      </c>
      <c r="N17" s="12" t="s">
        <v>85</v>
      </c>
      <c r="O17" s="12">
        <v>324558</v>
      </c>
      <c r="Q17" s="11">
        <v>7</v>
      </c>
      <c r="R17" s="12" t="s">
        <v>85</v>
      </c>
      <c r="S17" s="12">
        <v>318528</v>
      </c>
    </row>
    <row r="20" spans="1:19">
      <c r="A20" s="9" t="s">
        <v>112</v>
      </c>
      <c r="B20" s="10" t="s">
        <v>76</v>
      </c>
      <c r="C20" s="10" t="s">
        <v>60</v>
      </c>
      <c r="E20" s="9" t="s">
        <v>112</v>
      </c>
      <c r="F20" s="10" t="s">
        <v>76</v>
      </c>
      <c r="G20" s="10" t="s">
        <v>61</v>
      </c>
      <c r="I20" s="9" t="s">
        <v>112</v>
      </c>
      <c r="J20" s="10" t="s">
        <v>76</v>
      </c>
      <c r="K20" s="10" t="s">
        <v>62</v>
      </c>
      <c r="M20" s="9" t="s">
        <v>112</v>
      </c>
      <c r="N20" s="10" t="s">
        <v>76</v>
      </c>
      <c r="O20" s="10" t="s">
        <v>63</v>
      </c>
      <c r="Q20" s="9" t="s">
        <v>112</v>
      </c>
      <c r="R20" s="10" t="s">
        <v>76</v>
      </c>
      <c r="S20" s="10" t="s">
        <v>64</v>
      </c>
    </row>
    <row r="21" spans="1:19">
      <c r="A21" s="11">
        <v>1</v>
      </c>
      <c r="B21" s="12" t="s">
        <v>79</v>
      </c>
      <c r="C21" s="12">
        <v>9773</v>
      </c>
      <c r="E21" s="11">
        <v>1</v>
      </c>
      <c r="F21" s="12" t="s">
        <v>79</v>
      </c>
      <c r="G21" s="12">
        <v>9031</v>
      </c>
      <c r="I21" s="11">
        <v>1</v>
      </c>
      <c r="J21" s="12" t="s">
        <v>79</v>
      </c>
      <c r="K21" s="12">
        <v>8307</v>
      </c>
      <c r="M21" s="11">
        <v>1</v>
      </c>
      <c r="N21" s="12" t="s">
        <v>79</v>
      </c>
      <c r="O21" s="12">
        <v>8100</v>
      </c>
      <c r="Q21" s="11">
        <v>1</v>
      </c>
      <c r="R21" s="12" t="s">
        <v>79</v>
      </c>
      <c r="S21" s="12">
        <v>7685</v>
      </c>
    </row>
    <row r="22" spans="1:19">
      <c r="A22" s="13">
        <v>2</v>
      </c>
      <c r="B22" s="14" t="s">
        <v>80</v>
      </c>
      <c r="C22" s="14">
        <v>9773</v>
      </c>
      <c r="E22" s="13">
        <v>2</v>
      </c>
      <c r="F22" s="14" t="s">
        <v>80</v>
      </c>
      <c r="G22" s="14">
        <v>9031</v>
      </c>
      <c r="I22" s="13">
        <v>2</v>
      </c>
      <c r="J22" s="14" t="s">
        <v>80</v>
      </c>
      <c r="K22" s="14">
        <v>8307</v>
      </c>
      <c r="M22" s="13">
        <v>2</v>
      </c>
      <c r="N22" s="14" t="s">
        <v>80</v>
      </c>
      <c r="O22" s="14">
        <v>8100</v>
      </c>
      <c r="Q22" s="13">
        <v>2</v>
      </c>
      <c r="R22" s="14" t="s">
        <v>80</v>
      </c>
      <c r="S22" s="14">
        <v>7685</v>
      </c>
    </row>
    <row r="23" spans="1:19">
      <c r="A23" s="11">
        <v>3</v>
      </c>
      <c r="B23" s="12" t="s">
        <v>81</v>
      </c>
      <c r="C23" s="12">
        <v>9775</v>
      </c>
      <c r="E23" s="11">
        <v>3</v>
      </c>
      <c r="F23" s="12" t="s">
        <v>81</v>
      </c>
      <c r="G23" s="12">
        <v>9031</v>
      </c>
      <c r="I23" s="11">
        <v>3</v>
      </c>
      <c r="J23" s="12" t="s">
        <v>81</v>
      </c>
      <c r="K23" s="12">
        <v>8307</v>
      </c>
      <c r="M23" s="11">
        <v>3</v>
      </c>
      <c r="N23" s="12" t="s">
        <v>81</v>
      </c>
      <c r="O23" s="12">
        <v>8100</v>
      </c>
      <c r="Q23" s="11">
        <v>3</v>
      </c>
      <c r="R23" s="12" t="s">
        <v>81</v>
      </c>
      <c r="S23" s="12">
        <v>7688</v>
      </c>
    </row>
    <row r="24" spans="1:19">
      <c r="A24" s="13">
        <v>4</v>
      </c>
      <c r="B24" s="14" t="s">
        <v>82</v>
      </c>
      <c r="C24" s="14">
        <v>9777</v>
      </c>
      <c r="E24" s="13">
        <v>4</v>
      </c>
      <c r="F24" s="14" t="s">
        <v>82</v>
      </c>
      <c r="G24" s="14">
        <v>9031</v>
      </c>
      <c r="I24" s="13">
        <v>4</v>
      </c>
      <c r="J24" s="14" t="s">
        <v>82</v>
      </c>
      <c r="K24" s="14">
        <v>8307</v>
      </c>
      <c r="M24" s="13">
        <v>4</v>
      </c>
      <c r="N24" s="14" t="s">
        <v>82</v>
      </c>
      <c r="O24" s="14">
        <v>8100</v>
      </c>
      <c r="Q24" s="13">
        <v>4</v>
      </c>
      <c r="R24" s="14" t="s">
        <v>82</v>
      </c>
      <c r="S24" s="14">
        <v>7688</v>
      </c>
    </row>
    <row r="25" spans="1:19">
      <c r="A25" s="11">
        <v>5</v>
      </c>
      <c r="B25" s="12" t="s">
        <v>83</v>
      </c>
      <c r="C25" s="12">
        <v>9777</v>
      </c>
      <c r="E25" s="11">
        <v>5</v>
      </c>
      <c r="F25" s="12" t="s">
        <v>83</v>
      </c>
      <c r="G25" s="12">
        <v>9031</v>
      </c>
      <c r="I25" s="11">
        <v>5</v>
      </c>
      <c r="J25" s="12" t="s">
        <v>83</v>
      </c>
      <c r="K25" s="12">
        <v>8307</v>
      </c>
      <c r="M25" s="11">
        <v>5</v>
      </c>
      <c r="N25" s="12" t="s">
        <v>83</v>
      </c>
      <c r="O25" s="12">
        <v>8100</v>
      </c>
      <c r="Q25" s="11">
        <v>5</v>
      </c>
      <c r="R25" s="12" t="s">
        <v>83</v>
      </c>
      <c r="S25" s="12">
        <v>7688</v>
      </c>
    </row>
    <row r="26" spans="1:19">
      <c r="A26" s="13">
        <v>6</v>
      </c>
      <c r="B26" s="14" t="s">
        <v>84</v>
      </c>
      <c r="C26" s="14">
        <v>9777</v>
      </c>
      <c r="E26" s="13">
        <v>6</v>
      </c>
      <c r="F26" s="14" t="s">
        <v>84</v>
      </c>
      <c r="G26" s="14">
        <v>9031</v>
      </c>
      <c r="I26" s="13">
        <v>6</v>
      </c>
      <c r="J26" s="14" t="s">
        <v>84</v>
      </c>
      <c r="K26" s="14">
        <v>8307</v>
      </c>
      <c r="M26" s="13">
        <v>6</v>
      </c>
      <c r="N26" s="14" t="s">
        <v>84</v>
      </c>
      <c r="O26" s="14">
        <v>8100</v>
      </c>
      <c r="Q26" s="13">
        <v>6</v>
      </c>
      <c r="R26" s="14" t="s">
        <v>84</v>
      </c>
      <c r="S26" s="14">
        <v>7688</v>
      </c>
    </row>
    <row r="27" spans="1:19">
      <c r="A27" s="11">
        <v>7</v>
      </c>
      <c r="B27" s="12" t="s">
        <v>85</v>
      </c>
      <c r="C27" s="12">
        <v>9782</v>
      </c>
      <c r="E27" s="11">
        <v>7</v>
      </c>
      <c r="F27" s="12" t="s">
        <v>85</v>
      </c>
      <c r="G27" s="12">
        <v>9031</v>
      </c>
      <c r="I27" s="11">
        <v>7</v>
      </c>
      <c r="J27" s="12" t="s">
        <v>85</v>
      </c>
      <c r="K27" s="12">
        <v>8347</v>
      </c>
      <c r="M27" s="11">
        <v>7</v>
      </c>
      <c r="N27" s="12" t="s">
        <v>85</v>
      </c>
      <c r="O27" s="12">
        <v>8100</v>
      </c>
      <c r="Q27" s="11">
        <v>7</v>
      </c>
      <c r="R27" s="12" t="s">
        <v>85</v>
      </c>
      <c r="S27" s="12">
        <v>7688</v>
      </c>
    </row>
    <row r="30" spans="1:19">
      <c r="A30" s="9" t="s">
        <v>112</v>
      </c>
      <c r="B30" s="10" t="s">
        <v>76</v>
      </c>
      <c r="C30" s="10" t="s">
        <v>65</v>
      </c>
      <c r="E30" s="9" t="s">
        <v>112</v>
      </c>
      <c r="F30" s="10" t="s">
        <v>76</v>
      </c>
      <c r="G30" s="10" t="s">
        <v>66</v>
      </c>
      <c r="I30" s="9" t="s">
        <v>112</v>
      </c>
      <c r="J30" s="10" t="s">
        <v>76</v>
      </c>
      <c r="K30" s="10" t="s">
        <v>67</v>
      </c>
      <c r="M30" s="9" t="s">
        <v>112</v>
      </c>
      <c r="N30" s="10" t="s">
        <v>76</v>
      </c>
      <c r="O30" s="10" t="s">
        <v>68</v>
      </c>
      <c r="Q30" t="s">
        <v>112</v>
      </c>
      <c r="R30" t="s">
        <v>76</v>
      </c>
      <c r="S30" t="s">
        <v>69</v>
      </c>
    </row>
    <row r="31" spans="1:19">
      <c r="A31" s="11">
        <v>1</v>
      </c>
      <c r="B31" s="12" t="s">
        <v>79</v>
      </c>
      <c r="C31" s="12">
        <v>7460</v>
      </c>
      <c r="E31" s="11">
        <v>1</v>
      </c>
      <c r="F31" s="12" t="s">
        <v>79</v>
      </c>
      <c r="G31" s="12">
        <v>7420</v>
      </c>
      <c r="I31" s="11">
        <v>1</v>
      </c>
      <c r="J31" s="12" t="s">
        <v>79</v>
      </c>
      <c r="K31" s="12">
        <v>6010</v>
      </c>
      <c r="M31" s="11">
        <v>1</v>
      </c>
      <c r="N31" s="12" t="s">
        <v>79</v>
      </c>
      <c r="O31" s="12">
        <v>10</v>
      </c>
      <c r="Q31">
        <v>1</v>
      </c>
      <c r="R31" t="s">
        <v>79</v>
      </c>
      <c r="S31">
        <v>2</v>
      </c>
    </row>
    <row r="32" spans="1:19">
      <c r="A32" s="13">
        <v>2</v>
      </c>
      <c r="B32" s="14" t="s">
        <v>80</v>
      </c>
      <c r="C32" s="14">
        <v>7460</v>
      </c>
      <c r="E32" s="13">
        <v>2</v>
      </c>
      <c r="F32" s="14" t="s">
        <v>80</v>
      </c>
      <c r="G32" s="14">
        <v>7420</v>
      </c>
      <c r="I32" s="13">
        <v>2</v>
      </c>
      <c r="J32" s="14" t="s">
        <v>80</v>
      </c>
      <c r="K32" s="14">
        <v>6010</v>
      </c>
      <c r="M32" s="13">
        <v>2</v>
      </c>
      <c r="N32" s="14" t="s">
        <v>80</v>
      </c>
      <c r="O32" s="14">
        <v>10</v>
      </c>
      <c r="Q32">
        <v>2</v>
      </c>
      <c r="R32" t="s">
        <v>80</v>
      </c>
      <c r="S32">
        <v>2</v>
      </c>
    </row>
    <row r="33" spans="1:19">
      <c r="A33" s="11">
        <v>3</v>
      </c>
      <c r="B33" s="12" t="s">
        <v>81</v>
      </c>
      <c r="C33" s="12">
        <v>7489</v>
      </c>
      <c r="E33" s="11">
        <v>3</v>
      </c>
      <c r="F33" s="12" t="s">
        <v>81</v>
      </c>
      <c r="G33" s="12">
        <v>7420</v>
      </c>
      <c r="I33" s="11">
        <v>3</v>
      </c>
      <c r="J33" s="12" t="s">
        <v>81</v>
      </c>
      <c r="K33" s="12">
        <v>6010</v>
      </c>
      <c r="M33" s="11">
        <v>3</v>
      </c>
      <c r="N33" s="12" t="s">
        <v>81</v>
      </c>
      <c r="O33" s="12">
        <v>10</v>
      </c>
      <c r="Q33">
        <v>3</v>
      </c>
      <c r="R33" t="s">
        <v>81</v>
      </c>
      <c r="S33">
        <v>2</v>
      </c>
    </row>
    <row r="34" spans="1:19">
      <c r="A34" s="13">
        <v>4</v>
      </c>
      <c r="B34" s="14" t="s">
        <v>82</v>
      </c>
      <c r="C34" s="14">
        <v>7489</v>
      </c>
      <c r="E34" s="13">
        <v>4</v>
      </c>
      <c r="F34" s="14" t="s">
        <v>82</v>
      </c>
      <c r="G34" s="14">
        <v>7420</v>
      </c>
      <c r="I34" s="13">
        <v>4</v>
      </c>
      <c r="J34" s="14" t="s">
        <v>82</v>
      </c>
      <c r="K34" s="14">
        <v>6010</v>
      </c>
      <c r="M34" s="13">
        <v>4</v>
      </c>
      <c r="N34" s="14" t="s">
        <v>82</v>
      </c>
      <c r="O34" s="14">
        <v>10</v>
      </c>
      <c r="Q34">
        <v>4</v>
      </c>
      <c r="R34" t="s">
        <v>82</v>
      </c>
      <c r="S34">
        <v>2</v>
      </c>
    </row>
    <row r="35" spans="1:19">
      <c r="A35" s="11">
        <v>5</v>
      </c>
      <c r="B35" s="12" t="s">
        <v>83</v>
      </c>
      <c r="C35" s="12">
        <v>7489</v>
      </c>
      <c r="E35" s="11">
        <v>5</v>
      </c>
      <c r="F35" s="12" t="s">
        <v>83</v>
      </c>
      <c r="G35" s="12">
        <v>7420</v>
      </c>
      <c r="I35" s="11">
        <v>5</v>
      </c>
      <c r="J35" s="12" t="s">
        <v>83</v>
      </c>
      <c r="K35" s="12">
        <v>6010</v>
      </c>
      <c r="M35" s="11">
        <v>5</v>
      </c>
      <c r="N35" s="12" t="s">
        <v>83</v>
      </c>
      <c r="O35" s="12">
        <v>10</v>
      </c>
      <c r="Q35">
        <v>5</v>
      </c>
      <c r="R35" t="s">
        <v>83</v>
      </c>
      <c r="S35">
        <v>2</v>
      </c>
    </row>
    <row r="36" spans="1:19">
      <c r="A36" s="13">
        <v>6</v>
      </c>
      <c r="B36" s="14" t="s">
        <v>84</v>
      </c>
      <c r="C36" s="14">
        <v>7493</v>
      </c>
      <c r="E36" s="13">
        <v>6</v>
      </c>
      <c r="F36" s="14" t="s">
        <v>84</v>
      </c>
      <c r="G36" s="14">
        <v>7424</v>
      </c>
      <c r="I36" s="13">
        <v>6</v>
      </c>
      <c r="J36" s="14" t="s">
        <v>84</v>
      </c>
      <c r="K36" s="14">
        <v>6023</v>
      </c>
      <c r="M36" s="13">
        <v>6</v>
      </c>
      <c r="N36" s="14" t="s">
        <v>84</v>
      </c>
      <c r="O36" s="14">
        <v>10</v>
      </c>
      <c r="Q36">
        <v>6</v>
      </c>
      <c r="R36" t="s">
        <v>84</v>
      </c>
      <c r="S36">
        <v>2</v>
      </c>
    </row>
    <row r="37" spans="1:19">
      <c r="A37" s="11">
        <v>7</v>
      </c>
      <c r="B37" s="12" t="s">
        <v>85</v>
      </c>
      <c r="C37" s="12">
        <v>7493</v>
      </c>
      <c r="E37" s="11">
        <v>7</v>
      </c>
      <c r="F37" s="12" t="s">
        <v>85</v>
      </c>
      <c r="G37" s="12">
        <v>7424</v>
      </c>
      <c r="I37" s="11">
        <v>7</v>
      </c>
      <c r="J37" s="12" t="s">
        <v>85</v>
      </c>
      <c r="K37" s="12">
        <v>6023</v>
      </c>
      <c r="M37" s="11">
        <v>7</v>
      </c>
      <c r="N37" s="12" t="s">
        <v>85</v>
      </c>
      <c r="O37" s="12">
        <v>10</v>
      </c>
      <c r="Q37">
        <v>7</v>
      </c>
      <c r="R37" t="s">
        <v>85</v>
      </c>
      <c r="S37">
        <v>2</v>
      </c>
    </row>
  </sheetData>
  <pageMargins left="0.75" right="0.75" top="1" bottom="1" header="0.5" footer="0.5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I20" sqref="I20"/>
    </sheetView>
  </sheetViews>
  <sheetFormatPr defaultColWidth="8.72727272727273" defaultRowHeight="14.5"/>
  <cols>
    <col min="12" max="12" width="12.7272727272727" customWidth="1"/>
  </cols>
  <sheetData>
    <row r="1" ht="18.75" spans="1:12">
      <c r="A1" s="1" t="s">
        <v>113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109</v>
      </c>
    </row>
    <row r="2" ht="15.25" spans="1:12">
      <c r="A2" s="4">
        <v>1</v>
      </c>
      <c r="B2" s="5" t="s">
        <v>12</v>
      </c>
      <c r="C2" s="6">
        <v>3986892</v>
      </c>
      <c r="D2" s="6">
        <v>101620</v>
      </c>
      <c r="E2" s="6">
        <v>3871421</v>
      </c>
      <c r="F2" s="6">
        <v>13851</v>
      </c>
      <c r="G2" s="7">
        <v>192</v>
      </c>
      <c r="H2" s="6">
        <v>65599</v>
      </c>
      <c r="I2" s="6">
        <v>1672</v>
      </c>
      <c r="J2" s="6">
        <v>25604409</v>
      </c>
      <c r="K2" s="6">
        <v>421285</v>
      </c>
      <c r="L2" s="8">
        <v>60776880</v>
      </c>
    </row>
    <row r="3" ht="15.25" spans="1:12">
      <c r="A3" s="4">
        <v>2</v>
      </c>
      <c r="B3" s="5" t="s">
        <v>13</v>
      </c>
      <c r="C3" s="6">
        <v>1186597</v>
      </c>
      <c r="D3" s="6">
        <v>16087</v>
      </c>
      <c r="E3" s="6">
        <v>1160121</v>
      </c>
      <c r="F3" s="6">
        <v>10389</v>
      </c>
      <c r="G3" s="7">
        <v>293</v>
      </c>
      <c r="H3" s="6">
        <v>31417</v>
      </c>
      <c r="I3" s="7">
        <v>426</v>
      </c>
      <c r="J3" s="6">
        <v>11804007</v>
      </c>
      <c r="K3" s="6">
        <v>312527</v>
      </c>
      <c r="L3" s="8">
        <v>37769553</v>
      </c>
    </row>
    <row r="4" ht="15.25" spans="1:12">
      <c r="A4" s="4">
        <v>3</v>
      </c>
      <c r="B4" s="5" t="s">
        <v>14</v>
      </c>
      <c r="C4" s="6">
        <v>1044426</v>
      </c>
      <c r="D4" s="6">
        <v>28655</v>
      </c>
      <c r="E4" s="7"/>
      <c r="F4" s="7"/>
      <c r="G4" s="7">
        <v>29</v>
      </c>
      <c r="H4" s="6">
        <v>86592</v>
      </c>
      <c r="I4" s="6">
        <v>2376</v>
      </c>
      <c r="J4" s="6">
        <v>4647813</v>
      </c>
      <c r="K4" s="6">
        <v>385345</v>
      </c>
      <c r="L4" s="8">
        <v>12061430</v>
      </c>
    </row>
    <row r="5" ht="15.25" spans="1:12">
      <c r="A5" s="4">
        <v>4</v>
      </c>
      <c r="B5" s="5" t="s">
        <v>15</v>
      </c>
      <c r="C5" s="6">
        <v>515645</v>
      </c>
      <c r="D5" s="6">
        <v>24613</v>
      </c>
      <c r="E5" s="6">
        <v>442182</v>
      </c>
      <c r="F5" s="6">
        <v>48850</v>
      </c>
      <c r="G5" s="7">
        <v>122</v>
      </c>
      <c r="H5" s="6">
        <v>4859</v>
      </c>
      <c r="I5" s="7">
        <v>232</v>
      </c>
      <c r="J5" s="6">
        <v>3693367</v>
      </c>
      <c r="K5" s="6">
        <v>34802</v>
      </c>
      <c r="L5" s="8">
        <v>106123802</v>
      </c>
    </row>
    <row r="6" ht="15.25" spans="1:12">
      <c r="A6" s="4">
        <v>5</v>
      </c>
      <c r="B6" s="5" t="s">
        <v>16</v>
      </c>
      <c r="C6" s="6">
        <v>502110</v>
      </c>
      <c r="D6" s="6">
        <v>6430</v>
      </c>
      <c r="E6" s="6">
        <v>490973</v>
      </c>
      <c r="F6" s="6">
        <v>4707</v>
      </c>
      <c r="G6" s="7">
        <v>101</v>
      </c>
      <c r="H6" s="6">
        <v>71173</v>
      </c>
      <c r="I6" s="7">
        <v>911</v>
      </c>
      <c r="J6" s="6">
        <v>2477219</v>
      </c>
      <c r="K6" s="6">
        <v>351142</v>
      </c>
      <c r="L6" s="8">
        <v>7054748</v>
      </c>
    </row>
    <row r="7" ht="15.25" spans="1:12">
      <c r="A7" s="4">
        <v>6</v>
      </c>
      <c r="B7" s="5" t="s">
        <v>17</v>
      </c>
      <c r="C7" s="6">
        <v>484536</v>
      </c>
      <c r="D7" s="6">
        <v>7524</v>
      </c>
      <c r="E7" s="6">
        <v>458374</v>
      </c>
      <c r="F7" s="6">
        <v>18638</v>
      </c>
      <c r="G7" s="7">
        <v>39</v>
      </c>
      <c r="H7" s="6">
        <v>4019</v>
      </c>
      <c r="I7" s="7">
        <v>62</v>
      </c>
      <c r="J7" s="6">
        <v>5020764</v>
      </c>
      <c r="K7" s="6">
        <v>41647</v>
      </c>
      <c r="L7" s="8">
        <v>120553858</v>
      </c>
    </row>
    <row r="8" ht="15.25" spans="1:12">
      <c r="A8" s="4">
        <v>7</v>
      </c>
      <c r="B8" s="5" t="s">
        <v>18</v>
      </c>
      <c r="C8" s="6">
        <v>419968</v>
      </c>
      <c r="D8" s="7">
        <v>799</v>
      </c>
      <c r="E8" s="6">
        <v>417167</v>
      </c>
      <c r="F8" s="6">
        <v>2002</v>
      </c>
      <c r="G8" s="7">
        <v>10</v>
      </c>
      <c r="H8" s="6">
        <v>462593</v>
      </c>
      <c r="I8" s="7">
        <v>880</v>
      </c>
      <c r="J8" s="6">
        <v>1603660</v>
      </c>
      <c r="K8" s="6">
        <v>1766424</v>
      </c>
      <c r="L8" s="8">
        <v>907857</v>
      </c>
    </row>
    <row r="9" ht="15.25" spans="1:12">
      <c r="A9" s="4">
        <v>8</v>
      </c>
      <c r="B9" s="5" t="s">
        <v>19</v>
      </c>
      <c r="C9" s="6">
        <v>329605</v>
      </c>
      <c r="D9" s="6">
        <v>5651</v>
      </c>
      <c r="E9" s="6">
        <v>320798</v>
      </c>
      <c r="F9" s="6">
        <v>3156</v>
      </c>
      <c r="G9" s="7">
        <v>1</v>
      </c>
      <c r="H9" s="6">
        <v>5876</v>
      </c>
      <c r="I9" s="7">
        <v>101</v>
      </c>
      <c r="J9" s="6">
        <v>3724555</v>
      </c>
      <c r="K9" s="6">
        <v>66395</v>
      </c>
      <c r="L9" s="8">
        <v>56096568</v>
      </c>
    </row>
    <row r="10" ht="15.25" spans="1:12">
      <c r="A10" s="4">
        <v>9</v>
      </c>
      <c r="B10" s="5" t="s">
        <v>20</v>
      </c>
      <c r="C10" s="6">
        <v>324344</v>
      </c>
      <c r="D10" s="6">
        <v>3997</v>
      </c>
      <c r="E10" s="6">
        <v>319267</v>
      </c>
      <c r="F10" s="6">
        <v>1080</v>
      </c>
      <c r="G10" s="7">
        <v>1</v>
      </c>
      <c r="H10" s="6">
        <v>16723</v>
      </c>
      <c r="I10" s="7">
        <v>206</v>
      </c>
      <c r="J10" s="6">
        <v>3525519</v>
      </c>
      <c r="K10" s="6">
        <v>181778</v>
      </c>
      <c r="L10" s="8">
        <v>19394630</v>
      </c>
    </row>
    <row r="11" spans="1:12">
      <c r="A11" s="4">
        <v>10</v>
      </c>
      <c r="B11" s="5" t="s">
        <v>21</v>
      </c>
      <c r="C11" s="6">
        <v>314242</v>
      </c>
      <c r="D11" s="6">
        <v>2709</v>
      </c>
      <c r="E11" s="6">
        <v>306118</v>
      </c>
      <c r="F11" s="6">
        <v>5415</v>
      </c>
      <c r="G11" s="7">
        <v>1</v>
      </c>
      <c r="H11" s="6">
        <v>128532</v>
      </c>
      <c r="I11" s="6">
        <v>1108</v>
      </c>
      <c r="J11" s="6">
        <v>2026898</v>
      </c>
      <c r="K11" s="6">
        <v>829049</v>
      </c>
      <c r="L11" s="8">
        <v>2444846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COVID- Africa</vt:lpstr>
      <vt:lpstr>HIGHEST CASES PREDICTION DASH</vt:lpstr>
      <vt:lpstr>LOWEST CASES PREDICTION DASH</vt:lpstr>
      <vt:lpstr>PIVOT</vt:lpstr>
      <vt:lpstr>MORTALITY &amp; RECOVERY RATE DASH</vt:lpstr>
      <vt:lpstr>COMPARISM WITH COUNTRIES DASH</vt:lpstr>
      <vt:lpstr>COMBINED DASH</vt:lpstr>
      <vt:lpstr>LOWER 10</vt:lpstr>
      <vt:lpstr>Table</vt:lpstr>
      <vt:lpstr>TOP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2022-06-21T09:16:00Z</dcterms:created>
  <dcterms:modified xsi:type="dcterms:W3CDTF">2026-05-13T05:04:34Z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2DA472E341F44767BE201A6AAF1C82B9_13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